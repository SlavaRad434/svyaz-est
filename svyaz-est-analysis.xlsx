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ИжГТУ\ПИКПО\"/>
    </mc:Choice>
  </mc:AlternateContent>
  <bookViews>
    <workbookView xWindow="0" yWindow="0" windowWidth="21570" windowHeight="8055" activeTab="7"/>
  </bookViews>
  <sheets>
    <sheet name="Аналоги" sheetId="1" r:id="rId1"/>
    <sheet name="Отличия" sheetId="2" r:id="rId2"/>
    <sheet name="Решения" sheetId="3" r:id="rId3"/>
    <sheet name="US и FR" sheetId="4" r:id="rId4"/>
    <sheet name="NFR" sheetId="5" r:id="rId5"/>
    <sheet name="Методика" sheetId="6" r:id="rId6"/>
    <sheet name="MoSCoW" sheetId="7" r:id="rId7"/>
    <sheet name="Риски" sheetId="8" r:id="rId8"/>
  </sheets>
  <calcPr calcId="162913"/>
</workbook>
</file>

<file path=xl/calcChain.xml><?xml version="1.0" encoding="utf-8"?>
<calcChain xmlns="http://schemas.openxmlformats.org/spreadsheetml/2006/main">
  <c r="F19" i="8" l="1"/>
  <c r="E19" i="8"/>
  <c r="E18" i="8"/>
  <c r="F18" i="8" s="1"/>
  <c r="F17" i="8"/>
  <c r="E17" i="8"/>
  <c r="E16" i="8"/>
  <c r="F16" i="8" s="1"/>
  <c r="F15" i="8"/>
  <c r="E15" i="8"/>
  <c r="E14" i="8"/>
  <c r="F14" i="8" s="1"/>
  <c r="F13" i="8"/>
  <c r="E13" i="8"/>
  <c r="E12" i="8"/>
  <c r="F12" i="8" s="1"/>
  <c r="F11" i="8"/>
  <c r="E11" i="8"/>
  <c r="E10" i="8"/>
  <c r="F10" i="8" s="1"/>
  <c r="F9" i="8"/>
  <c r="E9" i="8"/>
  <c r="E8" i="8"/>
  <c r="F8" i="8" s="1"/>
  <c r="F7" i="8"/>
  <c r="E7" i="8"/>
  <c r="E6" i="8"/>
  <c r="F6" i="8" s="1"/>
</calcChain>
</file>

<file path=xl/sharedStrings.xml><?xml version="1.0" encoding="utf-8"?>
<sst xmlns="http://schemas.openxmlformats.org/spreadsheetml/2006/main" count="556" uniqueCount="484">
  <si>
    <t>СвязьЕсть · Матрица аналогов для РФ</t>
  </si>
  <si>
    <t>Есть = заявлено в источнике; Н/д = не подтверждено; Н/п = неприменимо к назначению. Дата проверки: 16.09.2026.</t>
  </si>
  <si>
    <t>СвязьЕсть — проект, функции ещё не подтверждены реализацией. MVP / Should / вне MVP различены; тесты приложений не проводились.</t>
  </si>
  <si>
    <t>Параметр</t>
  </si>
  <si>
    <t>Megabitus [S4–S5]</t>
  </si>
  <si>
    <t>Zona [S6]</t>
  </si>
  <si>
    <t>GeoStations [S7]</t>
  </si>
  <si>
    <t>Карта МТС [S8]</t>
  </si>
  <si>
    <t>СвязьЕсть: предлагаем</t>
  </si>
  <si>
    <t>Вывод для проекта</t>
  </si>
  <si>
    <t>Отношение к задаче</t>
  </si>
  <si>
    <t>Прямой: карта качества связи</t>
  </si>
  <si>
    <t>Прямой: тесты и карта результатов</t>
  </si>
  <si>
    <t>Прямой: пользовательская карта связи</t>
  </si>
  <si>
    <t>Смежный: проекты базовых станций</t>
  </si>
  <si>
    <t>Косвенный: покрытие одного оператора</t>
  </si>
  <si>
    <t>Карта фактического качества мобильного интернета</t>
  </si>
  <si>
    <t>Основные соперники: Цифра47, Megabitus, Zona.</t>
  </si>
  <si>
    <t>География в РФ</t>
  </si>
  <si>
    <t>Ленинградская область и СЗФО</t>
  </si>
  <si>
    <t>Российский сервис; плотность данных по городам не проверялась</t>
  </si>
  <si>
    <t>Россия; заявлены фильтры по 26 городам</t>
  </si>
  <si>
    <t>Проекты базовых станций по РФ</t>
  </si>
  <si>
    <t>Зоны сети МТС в РФ</t>
  </si>
  <si>
    <t>MVP: один город или выбранные районы</t>
  </si>
  <si>
    <t>Не заявлять превосходство по охвату.</t>
  </si>
  <si>
    <t>Платформы</t>
  </si>
  <si>
    <t>Веб-портал, Android, iPhone</t>
  </si>
  <si>
    <t>Веб, Android, iOS</t>
  </si>
  <si>
    <t>iPhone; иные платформы не подтверждены</t>
  </si>
  <si>
    <t>Веб</t>
  </si>
  <si>
    <t>Веб-карта</t>
  </si>
  <si>
    <t>MVP: адаптивный веб на смартфонах и ПК</t>
  </si>
  <si>
    <t>Без установки — преимущество перед iPhone-only решением, не перед всеми.</t>
  </si>
  <si>
    <t>Карта связи / инфраструктуры</t>
  </si>
  <si>
    <t>Есть: сигнал и качество</t>
  </si>
  <si>
    <t>Есть: результаты тестов</t>
  </si>
  <si>
    <t>Есть: метки пользователей</t>
  </si>
  <si>
    <t>Есть: проекты вышек</t>
  </si>
  <si>
    <t>Есть: расчётное покрытие</t>
  </si>
  <si>
    <t>MVP: зоны качества и карточки (US-01, 04)</t>
  </si>
  <si>
    <t>Карта сама по себе уже есть у аналогов.</t>
  </si>
  <si>
    <t>Пользовательские замеры на карте</t>
  </si>
  <si>
    <t>Есть</t>
  </si>
  <si>
    <t>Есть; чужие результаты частично доступны</t>
  </si>
  <si>
    <t>Нет в модели данных: реестр проектов</t>
  </si>
  <si>
    <t>Нет в модели карты: расчёт покрытия</t>
  </si>
  <si>
    <t>MVP: ручной ввод результата с источником (US-06)</t>
  </si>
  <si>
    <t>Автоматические замеры аналогов сильнее ручного ввода по удобству.</t>
  </si>
  <si>
    <t>Встроенный тест скорости</t>
  </si>
  <si>
    <t>Есть: download / upload</t>
  </si>
  <si>
    <t>Есть: мини-speedtest</t>
  </si>
  <si>
    <t>Н/п: реестр проектов</t>
  </si>
  <si>
    <t>Н/п: карта покрытия</t>
  </si>
  <si>
    <t>Вне MVP (US-17); пока перенос внешнего теста</t>
  </si>
  <si>
    <t>По этому параметру первоначально уступаем прямым аналогам.</t>
  </si>
  <si>
    <t>Ping / jitter / потери пакетов</t>
  </si>
  <si>
    <t>Н/д: состав метрик теста не уточнён</t>
  </si>
  <si>
    <t>Есть все три показателя</t>
  </si>
  <si>
    <t>Есть ping; jitter и потери — Н/д</t>
  </si>
  <si>
    <t>Н/п</t>
  </si>
  <si>
    <t>MVP: ручной RTT; jitter и потери не входят</t>
  </si>
  <si>
    <t>Не обещать измеренную стабильность без дополнительных метрик.</t>
  </si>
  <si>
    <t>Офлайн: сохранить наблюдение и отправить позже</t>
  </si>
  <si>
    <t>Есть: локальный сбор и отправка при восстановлении сети</t>
  </si>
  <si>
    <t>Н/д</t>
  </si>
  <si>
    <t>Есть: офлайн-метки</t>
  </si>
  <si>
    <t>Н/п: нет сбора замеров</t>
  </si>
  <si>
    <t>Should: черновик в ранее открытом приложении (US-12)</t>
  </si>
  <si>
    <t>Полезная функция, но уже есть у Цифры47 и Zona.</t>
  </si>
  <si>
    <t>Офлайн: просматривать загруженную карту качества</t>
  </si>
  <si>
    <t>Н/д: офлайн-метки не доказывают офлайн-карту</t>
  </si>
  <si>
    <t>Новая идея после MVP: загрузка района с датой снимка; не включена в US</t>
  </si>
  <si>
    <t>Гипотеза отличия. Проверить аналоги и лицензии карты до включения в план.</t>
  </si>
  <si>
    <t>Сообщить о «мёртвой зоне»</t>
  </si>
  <si>
    <t>Есть: обращение передаётся операторам</t>
  </si>
  <si>
    <t>Есть: метка «Нет сигнала»</t>
  </si>
  <si>
    <t>Н/д в рамках самой карты</t>
  </si>
  <si>
    <t>MVP: жалоба с местом и временем события (US-07)</t>
  </si>
  <si>
    <t>Отдельный слой жалоб; интеграция с операторами пока отсутствует.</t>
  </si>
  <si>
    <t>Сравнение нескольких операторов в одном месте</t>
  </si>
  <si>
    <t>Есть: справка по населённому пункту</t>
  </si>
  <si>
    <t>Есть: сравнение в той же локации</t>
  </si>
  <si>
    <t>Есть: сравнение по городам</t>
  </si>
  <si>
    <t>Частично: объекты разных операторов, без рейтинга качества</t>
  </si>
  <si>
    <t>Нет: только сеть МТС</t>
  </si>
  <si>
    <t>MVP: переключение; Should: таблица сравнения (US-02, 13)</t>
  </si>
  <si>
    <t>Сравнение операторов — базовая конкурентная функция.</t>
  </si>
  <si>
    <t>Тип сети / технология</t>
  </si>
  <si>
    <t>Есть: сведения о сети, включая частоты LTE</t>
  </si>
  <si>
    <t>Н/д: фильтр карты не подтверждён</t>
  </si>
  <si>
    <t>Есть: тип сети в метке</t>
  </si>
  <si>
    <t>Частично: частоты в связанных документах</t>
  </si>
  <si>
    <t>Есть: выбор технологий покрытия</t>
  </si>
  <si>
    <t>MVP: фильтр по сети, допускается «неизвестно» (US-02)</t>
  </si>
  <si>
    <t>Не выдавать browser effectiveType за реальную радиотехнологию.</t>
  </si>
  <si>
    <t>Свежесть и временная история</t>
  </si>
  <si>
    <t>Н/д: срок жизни публичных наблюдений</t>
  </si>
  <si>
    <t>Частично: история своих тестов; срок данных карты — Н/д</t>
  </si>
  <si>
    <t>Есть: метки живут 24 часа</t>
  </si>
  <si>
    <t>Обновление по новым заключениям; не история качества</t>
  </si>
  <si>
    <t>Н/д: время фактического измерения</t>
  </si>
  <si>
    <t>MVP: дата, период, окно 30 дней и старение (US-02, 08)</t>
  </si>
  <si>
    <t>Преимущество возможно в объяснимой истории, а не просто «свежих данных».</t>
  </si>
  <si>
    <t>Разделение «в помещении / на улице»</t>
  </si>
  <si>
    <t>Н/д; высотность замера не равна этому признаку</t>
  </si>
  <si>
    <t>MVP: отдельные группы условий (US-04, 06, 08)</t>
  </si>
  <si>
    <t>Кандидат на отличие; отсутствие у аналогов не доказано.</t>
  </si>
  <si>
    <t>Оценка для задачи: сообщения / видеозвонок</t>
  </si>
  <si>
    <t>MVP: два профиля с объяснением порогов (US-03)</t>
  </si>
  <si>
    <t>Кандидат на отличие после проверки на реальных задачах.</t>
  </si>
  <si>
    <t>Достаточность данных: число замеров и явный порог</t>
  </si>
  <si>
    <t>Н/д: правило достаточности в карточке</t>
  </si>
  <si>
    <t>Частично: сравнение со средним района; порог — Н/д</t>
  </si>
  <si>
    <t>Н/п: есть предупреждение о неполноте реестра</t>
  </si>
  <si>
    <t>Н/п: расчётная модель</t>
  </si>
  <si>
    <t>MVP: число, дата, минимум выборки и серый статус (US-04, 08)</t>
  </si>
  <si>
    <t>Делать оценку проверяемой; порог не гарантирует репрезентативность.</t>
  </si>
  <si>
    <t>Фоновый сбор наблюдений</t>
  </si>
  <si>
    <t>Есть: автоматический сбор и расписание</t>
  </si>
  <si>
    <t>Есть: авто check-in</t>
  </si>
  <si>
    <t>Вне MVP по концепции</t>
  </si>
  <si>
    <t>Меньше автоматизации сбора; не маскировать это как преимущество.</t>
  </si>
  <si>
    <t>Маршруты с учётом качества связи</t>
  </si>
  <si>
    <t>Есть: подбор и сохранение маршрута</t>
  </si>
  <si>
    <t>Вне MVP (US-18)</t>
  </si>
  <si>
    <t>Цифра47 уже решает этот сценарий.</t>
  </si>
  <si>
    <t>СвязьЕсть · Отличия</t>
  </si>
  <si>
    <t>Гипотезы отличий после сравнения с сервисами РФ. Офлайн-сбор и веб-доступ уже встречаются у аналогов.</t>
  </si>
  <si>
    <t>ID</t>
  </si>
  <si>
    <t>Отличие</t>
  </si>
  <si>
    <t>Польза</t>
  </si>
  <si>
    <t>Проверка в пилоте</t>
  </si>
  <si>
    <t>Связанные US</t>
  </si>
  <si>
    <t>D-01</t>
  </si>
  <si>
    <t>Объяснимая локальная оценка</t>
  </si>
  <si>
    <t>Потенциальное отличие: размер выборки, возраст и основание цвета. Отсутствие такой функции у аналогов пока не доказано.</t>
  </si>
  <si>
    <t>Не менее 8 из 10 участников правильно отличают «нет данных» от «плохая связь».</t>
  </si>
  <si>
    <t>US-01, US-04, US-08</t>
  </si>
  <si>
    <t>D-02</t>
  </si>
  <si>
    <t>Пригодность места для задачи</t>
  </si>
  <si>
    <t>Потенциальное отличие: объяснить пригодность для сообщений и видеозвонка до поездки. Нужна полевая проверка.</t>
  </si>
  <si>
    <t>На 20 местах сравнить предварительные оценки с реальными задачами; отдельно считать ложные положительные результаты. Порог выпуска утвердить после калибровки.</t>
  </si>
  <si>
    <t>US-03, US-08</t>
  </si>
  <si>
    <t>D-03</t>
  </si>
  <si>
    <t>Условия «помещение / улица»</t>
  </si>
  <si>
    <t>Потенциальное отличие: не переносить уличный результат на помещение. У аналогов функция не подтверждена.</t>
  </si>
  <si>
    <t>Проверить минимум 10 пар замеров внутри и снаружи; карточка явно разделяет группы.</t>
  </si>
  <si>
    <t>US-04, US-06, US-08</t>
  </si>
  <si>
    <t>D-04</t>
  </si>
  <si>
    <t>Сохранение без связи и отправка позже</t>
  </si>
  <si>
    <t>Паритет: уже заявлено у Цифры47 и Zona. У нас US-12 имеет Should; полезно, но не уникально.</t>
  </si>
  <si>
    <t>В 10 тестах разрыва связи черновик не теряется, повторная отправка не создаёт дублей.</t>
  </si>
  <si>
    <t>US-07, US-12</t>
  </si>
  <si>
    <t>D-05</t>
  </si>
  <si>
    <t>Доступ через браузер</t>
  </si>
  <si>
    <t>Преимущество перед Zona с подтверждённой версией для iPhone. У Связь47 и Megabitus веб уже есть.</t>
  </si>
  <si>
    <t>Не менее 8 из 10 участников находят оценку выбранной зоны за 60 секунд.</t>
  </si>
  <si>
    <t>US-01, US-02, US-11</t>
  </si>
  <si>
    <t>СвязьЕсть · Решения</t>
  </si>
  <si>
    <t>Уточнения концепции предложены для согласования. Пилот — один город или районы, команда из двух разработчиков.</t>
  </si>
  <si>
    <t>Вопрос</t>
  </si>
  <si>
    <t>Что есть в исходниках</t>
  </si>
  <si>
    <t>Предлагаемое решение</t>
  </si>
  <si>
    <t>Последствие</t>
  </si>
  <si>
    <t>Фильтр сценария</t>
  </si>
  <si>
    <t>Есть в общем сценарии, FR-04 и последнем слайде; не указан явно в списке MVP.</t>
  </si>
  <si>
    <t>Включить два стартовых профиля: базовые задачи и видеозвонок; остальные после пилота.</t>
  </si>
  <si>
    <t>Сохраняется основная продуктовая идея без семи независимых моделей оценки.</t>
  </si>
  <si>
    <t>«Анонимные» замеры</t>
  </si>
  <si>
    <t>Описана анонимность, но сохраняется ID авторизованного автора.</t>
  </si>
  <si>
    <t>Использовать термин «публично обезличенные»: внутренний ID существует и защищается.</t>
  </si>
  <si>
    <t>Нельзя обещать полную анонимность данных на сервере.</t>
  </si>
  <si>
    <t>Цвет красный</t>
  </si>
  <si>
    <t>Слайд 3: «связи нет»; концепция: «нет или практически непригодна».</t>
  </si>
  <si>
    <t>Красный означает «не проходит выбранные критерии», отсутствие связи показывать отдельной жалобой.</t>
  </si>
  <si>
    <t>Не делать вывод о полном отсутствии сети по низкой скорости.</t>
  </si>
  <si>
    <t>Стабильность</t>
  </si>
  <si>
    <t>Заявлена в концепции, но обязательных полей jitter, потерь и повторных тестов нет.</t>
  </si>
  <si>
    <t>В MVP показывать только предварительную пригодность по скорости и задержке.</t>
  </si>
  <si>
    <t>Не гарантировать стабильность видеозвонка и работу терминала.</t>
  </si>
  <si>
    <t>Отправка без связи</t>
  </si>
  <si>
    <t>Есть сообщение об отсутствии интернета, но нет механизма доставки.</t>
  </si>
  <si>
    <t>Must: отправка позже с указанием времени события; Should: локальный черновик в ранее открытом приложении.</t>
  </si>
  <si>
    <t>Первое открытие сайта без интернета не поддерживается.</t>
  </si>
  <si>
    <t>Средняя оценка</t>
  </si>
  <si>
    <t>Концепция требует средние показатели; алгоритм не определён.</t>
  </si>
  <si>
    <t>Сохранить взвешенные средние в карточке, добавить версию методики и ограничения выборки.</t>
  </si>
  <si>
    <t>Методика ниже остаётся гипотезой до калибровки.</t>
  </si>
  <si>
    <t>СвязьЕсть · US и FR</t>
  </si>
  <si>
    <t>Приоритет строки распространяется на FR. NFR определены на отдельном листе и применяются к реализованным историям.</t>
  </si>
  <si>
    <t>User Story</t>
  </si>
  <si>
    <t>FR: функциональные требования</t>
  </si>
  <si>
    <t>NFR</t>
  </si>
  <si>
    <t>MoSCoW</t>
  </si>
  <si>
    <t>Обоснование</t>
  </si>
  <si>
    <t>Критерий приёмки</t>
  </si>
  <si>
    <t>US-01</t>
  </si>
  <si>
    <t>Как гость, я хочу видеть карту качества связи, чтобы оценить нужный район без регистрации.</t>
  </si>
  <si>
    <t>FR-01.1: показать пилотную территорию и агрегированные зоны. FR-01.2: показать легенду, текстовый статус и отдельное состояние «недостаточно данных».</t>
  </si>
  <si>
    <t>NFR-01, NFR-02, NFR-03, NFR-05</t>
  </si>
  <si>
    <t>Must</t>
  </si>
  <si>
    <t>Основной способ получить ценность продукта.</t>
  </si>
  <si>
    <t>Гость открывает карту; зона без наблюдений серая, а не красная; точные позиции авторов отсутствуют.</t>
  </si>
  <si>
    <t>US-02</t>
  </si>
  <si>
    <t>Как житель, я хочу выбирать оператора, тип сети и период, чтобы видеть подходящие мне данные.</t>
  </si>
  <si>
    <t>FR-02.1: совместно применять фильтры оператора, сети и периода. FR-02.2: менять карту и карточки по одной выборке; предоставить сброс фильтров.</t>
  </si>
  <si>
    <t>NFR-02, NFR-03, NFR-08</t>
  </si>
  <si>
    <t>Без фильтров данные разных сетей смешиваются.</t>
  </si>
  <si>
    <t>При комбинации фильтров все агрегаты относятся только к выбранной группе; пустая выборка получает статус «нет данных».</t>
  </si>
  <si>
    <t>US-03</t>
  </si>
  <si>
    <t>Как удалённый сотрудник, я хочу выбрать задачу, чтобы понять предварительную пригодность места.</t>
  </si>
  <si>
    <t>FR-03.1: предоставить профили «базовые задачи» и «видеозвонок». FR-03.2: применять версионированные пороги; показывать причину результата и ограничение оценки стабильности.</t>
  </si>
  <si>
    <t>NFR-03, NFR-08, NFR-10</t>
  </si>
  <si>
    <t>Отличительная ценность заявлена и в концепции, и в презентации.</t>
  </si>
  <si>
    <t>На контрольных данных переключение профиля даёт ожидаемый статус; пограничные значения проверены; неполные данные не получают зелёную оценку.</t>
  </si>
  <si>
    <t>US-04</t>
  </si>
  <si>
    <t>Как посетитель места, я хочу открыть карточку зоны, чтобы понять основания оценки.</t>
  </si>
  <si>
    <t>FR-04.1: показать download/upload в Мбит/с, RTT в мс, оператора, сеть, период, последнее наблюдение и число учтённых записей. FR-04.2: показать условия измерений, достаточность данных и методику.</t>
  </si>
  <si>
    <t>NFR-02, NFR-03, NFR-05, NFR-08</t>
  </si>
  <si>
    <t>Оценка должна быть объяснима.</t>
  </si>
  <si>
    <t>Числа карточки совпадают с контрольной выборкой; группы внутри/снаружи разделены; пропуски не заменены нулями.</t>
  </si>
  <si>
    <t>US-05</t>
  </si>
  <si>
    <t>Как участник, я хочу зарегистрироваться, войти и выйти, чтобы публиковать собственные наблюдения.</t>
  </si>
  <si>
    <t>FR-05.1: регистрация и вход выбранным способом. FR-05.2: выход с завершением сессии; серверная проверка роли при записи.</t>
  </si>
  <si>
    <t>NFR-04, NFR-05, NFR-06</t>
  </si>
  <si>
    <t>Требуется исходной моделью публикации.</t>
  </si>
  <si>
    <t>Гость читает карту, но не публикует; после выхода старая сессия не позволяет запись; обычный пользователь не получает права администратора.</t>
  </si>
  <si>
    <t>US-06</t>
  </si>
  <si>
    <t>Как участник, я хочу добавить замер, чтобы дополнить карту данными своего оператора.</t>
  </si>
  <si>
    <t>FR-06.1: принять место, время измерения, оператора, сеть или «неизвестно», download/upload/RTT, условия и источник теста. FR-06.2: проверять поля на сервере, сохранять ID запроса и статус; отделять Wi-Fi/VPN или неизвестный транспорт от мобильного рейтинга.</t>
  </si>
  <si>
    <t>NFR-04, NFR-05, NFR-07, NFR-08</t>
  </si>
  <si>
    <t>Источник наполнения пилота.</t>
  </si>
  <si>
    <t>Валидная запись получает ID; отрицательные значения и будущее время отклоняются; повтор запроса не создаёт второй замер; ручной источник помечен.</t>
  </si>
  <si>
    <t>US-07</t>
  </si>
  <si>
    <t>Как пользователь без интернета, я хочу сообщить о проблеме позже, чтобы место с отсутствующей связью было учтено.</t>
  </si>
  <si>
    <t>FR-07.1: принять место, оператора, время события, условия и тип проблемы после восстановления сети. FR-07.2: хранить время события отдельно от отправки; показывать жалобы отдельно от скоростных замеров.</t>
  </si>
  <si>
    <t>Успешные speed test не отражают полный отказ соединения.</t>
  </si>
  <si>
    <t>Жалоба, отправленная спустя час, относится ко времени события; не записывается как измерение скорости 0 Мбит/с и не перекрашивает зону автоматически.</t>
  </si>
  <si>
    <t>US-08</t>
  </si>
  <si>
    <t>Как читатель карты, я хочу видеть оценку по нескольким актуальным наблюдениям, чтобы не опираться на единичный результат.</t>
  </si>
  <si>
    <t>FR-08.1: агрегировать по ячейке, оператору, сети и условиям с учётом фильтра периода. FR-08.2: применять срок актуальности, защиту от повторов и минимум выборки; исключать скрытые записи и пересчитывать результат.</t>
  </si>
  <si>
    <t>NFR-02, NFR-05, NFR-08, NFR-10</t>
  </si>
  <si>
    <t>Определяет корректность всего продукта.</t>
  </si>
  <si>
    <t>Одна запись не даёт уверенной оценки; истечение срока или скрытие записи меняет результат; контрольный набор воспроизводит ожидаемые веса и средние.</t>
  </si>
  <si>
    <t>US-09</t>
  </si>
  <si>
    <t>Как администратор, я хочу скрывать и восстанавливать сомнительные данные, чтобы снижать влияние ошибок и накруток.</t>
  </si>
  <si>
    <t>FR-09.1: список записей, фильтр подозрительных, просмотр, скрытие и восстановление с причиной. FR-09.2: журнал решений и пересчёт затронутых агрегатов.</t>
  </si>
  <si>
    <t>NFR-04, NFR-05, NFR-08, NFR-09</t>
  </si>
  <si>
    <t>Авторизация сама по себе не подтверждает истинность замера.</t>
  </si>
  <si>
    <t>Скрытая запись исчезает из расчёта, решение содержит автора и причину, пользователь без роли получает отказ.</t>
  </si>
  <si>
    <t>US-10</t>
  </si>
  <si>
    <t>Как участник, я хочу удалить свой вклад и учётную запись, чтобы управлять переданными данными.</t>
  </si>
  <si>
    <t>FR-10.1: удалить собственные записи и аккаунт через подтверждённый запрос. FR-10.2: пересчитать агрегаты, исключить публичную выдачу автора и маршрутов.</t>
  </si>
  <si>
    <t>NFR-04, NFR-05, NFR-09</t>
  </si>
  <si>
    <t>Предлагаемое дополнение для публичного пилота с геоданными.</t>
  </si>
  <si>
    <t>Чужое удаление запрещено; после своего удаления данные уходят из активной выдачи в установленный срок; после восстановления копии удалённые записи не возвращаются.</t>
  </si>
  <si>
    <t>US-11</t>
  </si>
  <si>
    <t>Как пользователь смартфона, я хочу пользоваться картой и формой на небольшом экране, чтобы работать с сервисом в дороге.</t>
  </si>
  <si>
    <t>FR-11.1: мобильная компоновка карты, карточки и формы. FR-11.2: явные состояния загрузки, сетевой ошибки, пустой выборки и повторной попытки.</t>
  </si>
  <si>
    <t>NFR-01, NFR-02, NFR-03, NFR-06</t>
  </si>
  <si>
    <t>Основной контекст использования.</t>
  </si>
  <si>
    <t>На ширине 360 px нет горизонтального скролла страницы; кнопки не перекрывают карточку; ошибка запроса не выглядит как отсутствие данных.</t>
  </si>
  <si>
    <t>US-12</t>
  </si>
  <si>
    <t>Как участник в зоне сбоя, я хочу сохранить черновик на устройстве, чтобы отправить его после восстановления связи.</t>
  </si>
  <si>
    <t>FR-12.1: сохранять черновик в ранее загруженном приложении и дать его удалить. FR-12.2: повторная отправка при открытом приложении; если сессия истекла, запросить вход без потери черновика.</t>
  </si>
  <si>
    <t>NFR-05, NFR-06, NFR-07</t>
  </si>
  <si>
    <t>Should</t>
  </si>
  <si>
    <t>Обходной путь есть: ручная отправка позже по US-07.</t>
  </si>
  <si>
    <t>После перезагрузки ранее открытого приложения черновик доступен при поддерживаемом локальном хранении; отправляется один раз; отказ хранилища объясняется.</t>
  </si>
  <si>
    <t>US-13</t>
  </si>
  <si>
    <t>Как житель, я хочу сравнить операторов в одной зоне, чтобы выбрать подходящего.</t>
  </si>
  <si>
    <t>FR-13.1: сравнительная таблица по одному месту, периоду и условиям. FR-13.2: показать недостаток данных вместо назначения победителя.</t>
  </si>
  <si>
    <t>В MVP можно последовательно переключать операторов.</t>
  </si>
  <si>
    <t>Сравнение не смешивает разные условия; оператор с одним замером не объявляется лучшим.</t>
  </si>
  <si>
    <t>US-14</t>
  </si>
  <si>
    <t>Как администратор, я хочу обновлять справочник операторов, чтобы поддерживать форму и фильтры.</t>
  </si>
  <si>
    <t>FR-14.1: добавить, переименовать, деактивировать оператора. FR-14.2: сохранять стабильный ID и историю связей замеров.</t>
  </si>
  <si>
    <t>NFR-04, NFR-09, NFR-10</t>
  </si>
  <si>
    <t>На старте допустим справочник через конфигурацию и миграцию.</t>
  </si>
  <si>
    <t>Переименование не разрывает старые записи; деактивированный оператор недоступен для нового замера, но остаётся в истории.</t>
  </si>
  <si>
    <t>US-15</t>
  </si>
  <si>
    <t>Как гость, я хочу найти адрес, чтобы быстро перейти к нужному месту.</t>
  </si>
  <si>
    <t>FR-15.1: поиск адреса в пилотной территории и переход карты. FR-15.2: сообщить о ненайденном адресе и недоступности геокодера.</t>
  </si>
  <si>
    <t>NFR-02, NFR-03, NFR-06</t>
  </si>
  <si>
    <t>В минимальной версии место можно выбрать на карте.</t>
  </si>
  <si>
    <t>Найденный адрес центрируется; ошибка поиска не стирает текущую карту.</t>
  </si>
  <si>
    <t>US-16</t>
  </si>
  <si>
    <t>Как посетитель, я хочу сохранить ссылку на место и фильтры, чтобы вернуться к оценке или поделиться ею.</t>
  </si>
  <si>
    <t>FR-16.1: включать в ссылку зону и публичные фильтры. FR-16.2: восстанавливать состояние без персональных параметров.</t>
  </si>
  <si>
    <t>NFR-05, NFR-06</t>
  </si>
  <si>
    <t>Could</t>
  </si>
  <si>
    <t>Не влияет на сбор и достоверность исходных данных.</t>
  </si>
  <si>
    <t>В другом браузере ссылка открывает ту же зону и фильтры без ID автора и токенов.</t>
  </si>
  <si>
    <t>US-17</t>
  </si>
  <si>
    <t>Как участник, я хочу запускать тест скорости в сервисе, чтобы не переносить показатели вручную.</t>
  </si>
  <si>
    <t>FR-17.1: по явному запуску измерить скорость и RTT с указанием сервера и метода. FR-17.2: показать расход трафика до старта и сохранить результат после подтверждения.</t>
  </si>
  <si>
    <t>NFR-05, NFR-06, NFR-11</t>
  </si>
  <si>
    <t>Won’t</t>
  </si>
  <si>
    <t>Отдельная инфраструктура измерений и калибровка выходят за минимальный пилот.</t>
  </si>
  <si>
    <t>Для будущего релиза: отмена прекращает передачу, результат воспроизводим в оговорённом диапазоне; ошибочный тест не публикуется как ноль.</t>
  </si>
  <si>
    <t>US-18</t>
  </si>
  <si>
    <t>Как водитель, я хочу сравнивать маршруты по качеству связи, чтобы планировать поездку.</t>
  </si>
  <si>
    <t>FR-18.1: построить маршруты и оценить участки по оператору. FR-18.2: явно показать неизвестные участки и давность данных.</t>
  </si>
  <si>
    <t>NFR-05, NFR-06, NFR-08, NFR-12</t>
  </si>
  <si>
    <t>Нужны маршрутизация и плотные данные вне отдельных точек пилота.</t>
  </si>
  <si>
    <t>Для будущего релиза: маршрут с неизвестными участками не получает оценку «связь гарантирована»; расчёт проходит заданный нагрузочный тест.</t>
  </si>
  <si>
    <t>СвязьЕсть · NFR</t>
  </si>
  <si>
    <t>Численные значения — проектные допущения для согласования. Проверки проводятся на фиксированном стенде.</t>
  </si>
  <si>
    <t>Категория</t>
  </si>
  <si>
    <t>Требование и метрика</t>
  </si>
  <si>
    <t>Проверка</t>
  </si>
  <si>
    <t>Приоритет</t>
  </si>
  <si>
    <t>NFR-01</t>
  </si>
  <si>
    <t>Удобство</t>
  </si>
  <si>
    <t>Гостю не нужен аккаунт. Оценка выбранной на карте зоны доступна за три основных шага: открыть, задать фильтр, выбрать зону. Не менее 8 из 10 участников выполняют сценарий без помощи за 60 секунд.</t>
  </si>
  <si>
    <t>Наблюдаемый пользовательский тест с фиксированными заданиями.</t>
  </si>
  <si>
    <t>NFR-02</t>
  </si>
  <si>
    <t>Производительность</t>
  </si>
  <si>
    <t>На тестовом профиле 10 Мбит/с, RTT 100 мс, 100 тыс. записей и 50 одновременных читателях: первый полезный экран ≤3 с в 75% запусков; API фильтров и карточек p95 ≤1 с.</t>
  </si>
  <si>
    <t>30 холодных запусков на согласованном Android-устройстве и 10-минутный нагрузочный прогон; учитывать ошибки, а не только успешные ответы.</t>
  </si>
  <si>
    <t>NFR-03</t>
  </si>
  <si>
    <t>Адаптивность и доступность</t>
  </si>
  <si>
    <t>Ширина 360–1440 px без горизонтального скролла страницы; элементы взаимодействия ≥44×44 CSS px; все статусы различимы без цвета; основные сценарии доступны с клавиатуры.</t>
  </si>
  <si>
    <t>Проверка экранов, клавиатуры, фокуса и текстовых подписей.</t>
  </si>
  <si>
    <t>NFR-04</t>
  </si>
  <si>
    <t>Защита доступа</t>
  </si>
  <si>
    <t>HTTPS; при паролях — Argon2id через поддерживаемую библиотеку; серверные права на каждую операцию; ограничение входа и публикаций; 0 успешных операций чужого изменения в отрицательных тестах.</t>
  </si>
  <si>
    <t>Тесты матрицы ролей, сессий, прямых запросов, CSRF при cookie-сессиях и вывода пользовательского текста.</t>
  </si>
  <si>
    <t>NFR-05</t>
  </si>
  <si>
    <t>Приватность</t>
  </si>
  <si>
    <t>Публично только ячейка от 250 м, без ID автора и точного времени отдельного замера. Точные координаты не сохраняются на сервере и не пишутся в логи. Удаление из активной БД ≤24 ч, из резервных копий ≤30 дней.</t>
  </si>
  <si>
    <t>Просмотр API, журналов, хранилищ и тест удаления/восстановления. Размер ячейки не является доказательством полной анонимности.</t>
  </si>
  <si>
    <t>NFR-06</t>
  </si>
  <si>
    <t>Совместимость</t>
  </si>
  <si>
    <t>На момент выпуска: две последние стабильные версии Chrome, Firefox, Edge, Safari, а также Chrome Android и Safari iOS. Отказ в геолокации не блокирует ручной выбор места.</t>
  </si>
  <si>
    <t>Матрица браузеров с закреплёнными версиями; ручные проверки на Android/iOS.</t>
  </si>
  <si>
    <t>NFR-07</t>
  </si>
  <si>
    <t>Надёжность записи</t>
  </si>
  <si>
    <t>Повтор одного запроса не создаёт дубль; 0 потерь подтверждённых записей в тесте повторов. Для US-12: 10 из 10 разрывов связи сохраняют черновик при доступном хранилище.</t>
  </si>
  <si>
    <t>Разрыв соединения до и после ответа, повтор запроса, закрытие вкладки; проверка ID и количества записей.</t>
  </si>
  <si>
    <t>Must для записи; Should для черновика</t>
  </si>
  <si>
    <t>NFR-08</t>
  </si>
  <si>
    <t>Качество данных</t>
  </si>
  <si>
    <t>На контрольном наборе 100% соответствие опубликованным правилам фильтрации, старения и минимальной выборки; пересчёт после принятия/скрытия ≤60 с; неподтверждённый источник обозначен.</t>
  </si>
  <si>
    <t>Детерминированные проверки границ периода, неизвестных полей, повторов, смены статуса и версии методики.</t>
  </si>
  <si>
    <t>NFR-09</t>
  </si>
  <si>
    <t>Восстановление и аудит</t>
  </si>
  <si>
    <t>Резервная копия ежедневно: RPO ≤24 ч, RTO ≤4 ч. Решения модерации сохраняют ID администратора, время и причину, без точных геоданных.</t>
  </si>
  <si>
    <t>Одно полное восстановление на отдельном стенде перед запуском; проверка журнала удаления и модерации.</t>
  </si>
  <si>
    <t>NFR-10</t>
  </si>
  <si>
    <t>Сопровождаемость</t>
  </si>
  <si>
    <t>Единые форматтер и линтер, явные API-схемы и версионированные миграции; все проверки обязательны в CI. У методики оценки есть версия и тесты граничных случаев.</t>
  </si>
  <si>
    <t>Чистый CI и развёртывание новой БД миграциями на тестовом стенде.</t>
  </si>
  <si>
    <t>NFR-11</t>
  </si>
  <si>
    <t>Будущий speed test</t>
  </si>
  <si>
    <t>Длительность одного теста ≤30 с; лимит трафика задаётся до старта и не превышается; остановка передачи ≤1 с после отмены в контролируемой среде.</t>
  </si>
  <si>
    <t>Сетевой журнал, таймер и тест отмены; точность отдельно калибруется перед реализацией.</t>
  </si>
  <si>
    <t>NFR-12</t>
  </si>
  <si>
    <t>Будущая маршрутизация</t>
  </si>
  <si>
    <t>Для трёх маршрутов длиной до 30 км оценка p95 ≤5 с на согласованном наборе; доля участков без данных видна пользователю.</t>
  </si>
  <si>
    <t>Нагрузочная проверка 100 запросов и маршрут с намеренными пробелами данных.</t>
  </si>
  <si>
    <t>СвязьЕсть · Методика</t>
  </si>
  <si>
    <t>Проектная методика до калибровки. Достаточность выборки не доказывает репрезентативность и не гарантирует связь.</t>
  </si>
  <si>
    <t>Правило</t>
  </si>
  <si>
    <t>Предложение для пилота</t>
  </si>
  <si>
    <t>Зачем / ограничение</t>
  </si>
  <si>
    <t>Единица агрегации</t>
  </si>
  <si>
    <t>Ячейка около 250×250 м; отдельно оператор, заявленная технология и условия «внутри / снаружи / неизвестно».</t>
  </si>
  <si>
    <t>Не переносить точку на весь район. Отказ от точных координат снижает пространственную точность.</t>
  </si>
  <si>
    <t>Источник</t>
  </si>
  <si>
    <t>Обязательны источник теста, время измерения, время отправки и способ ввода. Мобильный транспорт подтверждается пользователем; Wi-Fi/VPN/неизвестный транспорт исключаются из мобильной оценки.</t>
  </si>
  <si>
    <t>Ручное подтверждение не является технической верификацией. Поле «неизвестно» лучше выдуманного оператора или технологии.</t>
  </si>
  <si>
    <t>Актуальность</t>
  </si>
  <si>
    <t>Окно по умолчанию 30 дней. Вес записи w = 2^(−возраст_в_днях/14). Более старые записи доступны в истории, но не в текущем цвете.</t>
  </si>
  <si>
    <t>Период полураспада 14 дней — гипотеза. Исторический период должен явно называться историческим.</t>
  </si>
  <si>
    <t>Повторы</t>
  </si>
  <si>
    <t>Для расчёта оставить один последний валидный замер автора за сутки в одной группе агрегации. Остальные не увеличивают вес.</t>
  </si>
  <si>
    <t>Снижает влияние активного автора, но не исключает несколько аккаунтов.</t>
  </si>
  <si>
    <t>Достаточность</t>
  </si>
  <si>
    <t>Не менее 5 учтённых замеров от 3 аккаунтов в 2 разные даты после фильтров и исключений. Иначе серый статус.</t>
  </si>
  <si>
    <t>Это индикатор наполненности. На старте большая часть карты может быть серой. Не понижать порог ради красивой карты.</t>
  </si>
  <si>
    <t>Показатели карточки</t>
  </si>
  <si>
    <t>Взвешенное среднее x = Σ(wᵢ×xᵢ)/Σwᵢ отдельно для download/upload/RTT; число записей и день последнего замера.</t>
  </si>
  <si>
    <t>Среднее может скрывать разброс; не называть его доказательством стабильности. Время до минуты и список авторов публично не выдаются.</t>
  </si>
  <si>
    <t>Цвет профиля</t>
  </si>
  <si>
    <t>Каждый полный замер проходит или не проходит пороги профиля. Взвешенная доля прошедших ≥80% — зелёный; от 50% до &lt;80% — жёлтый; &lt;50% — красный. Недостаточная выборка — серый.</t>
  </si>
  <si>
    <t>Цвет отражает наблюдения в окне, а не вероятность успеха будущего звонка. Группы разных условий не объединять в один уверенный статус.</t>
  </si>
  <si>
    <t>Стартовые пороги</t>
  </si>
  <si>
    <t>«Базовые задачи»: download ≥1 Мбит/с, upload ≥0,5 Мбит/с, RTT ≤300 мс. «Видеозвонок»: download ≥5, upload ≥3, RTT ≤150 мс.</t>
  </si>
  <si>
    <t>Только рабочие пороги команды, не стандарты приложений. Проверить на реальных задачах; доступность конкретного сервиса и потери пакетов ими не измеряются.</t>
  </si>
  <si>
    <t>Жалобы</t>
  </si>
  <si>
    <t>Отдельный слой и счётчик, без преобразования жалобы в численный speed test. Публичные данные также агрегируются, не публикуются отдельные точные события.</t>
  </si>
  <si>
    <t>Одна жалоба не доказывает аварию, полный отказ сети или причину проблемы.</t>
  </si>
  <si>
    <t>Демонстрационные данные</t>
  </si>
  <si>
    <t>Только отдельный режим «Демо», исключённый из реального рейтинга и метрик наполненности.</t>
  </si>
  <si>
    <t>Синтетические данные помогают проверить интерфейс, но не доказывают покрытие или качество.</t>
  </si>
  <si>
    <t>СвязьЕсть · MoSCoW</t>
  </si>
  <si>
    <t>Приоритеты относятся к первому публичному пилоту. 11 Must из 18 историй не означают 61% трудозатрат.</t>
  </si>
  <si>
    <t>Истории</t>
  </si>
  <si>
    <t>Что входит</t>
  </si>
  <si>
    <t>Причина</t>
  </si>
  <si>
    <t>US-01–US-11</t>
  </si>
  <si>
    <t>Карта, фильтры, два профиля задач, карточка, вход, ручной замер, отложенная жалоба, агрегация, модерация, приватность, мобильный интерфейс.</t>
  </si>
  <si>
    <t>Без этих функций публичный пилот не решает задачу либо создаёт недопустимый риск неверной оценки и раскрытия данных.</t>
  </si>
  <si>
    <t>US-12–US-15</t>
  </si>
  <si>
    <t>Черновики, сравнение операторов, администрирование справочника, поиск адреса.</t>
  </si>
  <si>
    <t>Есть обходные пути: отправка позже, переключение фильтра, конфигурация справочника, ручной выбор места.</t>
  </si>
  <si>
    <t>Ссылка на место с фильтрами.</t>
  </si>
  <si>
    <t>Повышает удобство, но не влияет на основную проверку гипотезы.</t>
  </si>
  <si>
    <t>Won’t в пилоте</t>
  </si>
  <si>
    <t>US-17–US-18</t>
  </si>
  <si>
    <t>Встроенный speed test и сравнение маршрутов. Также исключены фоновый трекинг, автопереключение SIM, вся страна, прогноз аварий, интеграции операторов и экстренная связь.</t>
  </si>
  <si>
    <t>Несоразмерная сложность для двух разработчиков и недостаток данных. Won’t не означает «никогда».</t>
  </si>
  <si>
    <t>СвязьЕсть · Риски</t>
  </si>
  <si>
    <t>В и И: 1–3. Балл = В×И; 1–2 низкий, 3–4 средний, 6–9 высокий. Оценки до мер снижения, владельцы предложены.</t>
  </si>
  <si>
    <t>Риск и последствие</t>
  </si>
  <si>
    <t>В</t>
  </si>
  <si>
    <t>И</t>
  </si>
  <si>
    <t>Балл</t>
  </si>
  <si>
    <t>Уровень</t>
  </si>
  <si>
    <t>Меры снижения / резервный вариант</t>
  </si>
  <si>
    <t>Индикатор</t>
  </si>
  <si>
    <t>Владелец</t>
  </si>
  <si>
    <t>R-01</t>
  </si>
  <si>
    <t>Мало наблюдений: карта почти пустая и не помогает принять решение.</t>
  </si>
  <si>
    <t>Выбрать 20 приоритетных ячеек, организовать реальные повторные замеры разными участниками. При нехватке уменьшить территорию; демо хранить отдельно. US-08.</t>
  </si>
  <si>
    <t>К старту менее 60% выбранных ячеек проходят порог хотя бы для одного оператора.</t>
  </si>
  <si>
    <t>Совместно</t>
  </si>
  <si>
    <t>R-02</t>
  </si>
  <si>
    <t>Накрутки и ручные ошибки искажают рейтинг операторов.</t>
  </si>
  <si>
    <t>Серверная валидация, лимиты, один вклад автора в день на группу, журнал модерации. Сомнительное исключать из расчёта до проверки. US-06, US-09.</t>
  </si>
  <si>
    <t>Резкий рост повторов, одинаковых результатов и обращений по одной зоне.</t>
  </si>
  <si>
    <t>Вячеслав</t>
  </si>
  <si>
    <t>R-03</t>
  </si>
  <si>
    <t>Связка места, времени и аккаунта раскрывает чувствительные перемещения.</t>
  </si>
  <si>
    <t>Округление до отправки, минимизация логов, агрегированный публичный API, удаление и ограниченный доступ. Пересмотреть размер ячейки при угрозе повторной идентификации. US-10.</t>
  </si>
  <si>
    <t>В публичном ответе или журнале найдены точные координаты либо ID автора.</t>
  </si>
  <si>
    <t>R-04</t>
  </si>
  <si>
    <t>Успешные тесты преобладают; зоны полного отказа недопредставлены.</t>
  </si>
  <si>
    <t>Жалобы с фактическим временем события; черновики; полевые задания включают неуспешные попытки. Жалобы показывать отдельно. US-07, US-12.</t>
  </si>
  <si>
    <t>В полевом протоколе есть отказы, а на карте нет связанных сообщений.</t>
  </si>
  <si>
    <t>Максим</t>
  </si>
  <si>
    <t>R-05</t>
  </si>
  <si>
    <t>Старые измерения создают ложное ожидание работоспособности.</t>
  </si>
  <si>
    <t>Возраст данных в карточке, окно актуальности и уменьшение веса; повторные обходы. US-04, US-08.</t>
  </si>
  <si>
    <t>Доля приоритетных ячеек с актуальной достаточной выборкой падает ниже 60%.</t>
  </si>
  <si>
    <t>R-06</t>
  </si>
  <si>
    <t>Устройства, тарифы, VPN, сервер теста и помещения дают несопоставимые результаты.</t>
  </si>
  <si>
    <t>Хранить источник и условия, отделять транспорт, единый протокол полевого сбора; модель устройства сделать необязательной. Не сравнивать несопоставимые группы. US-06, US-13.</t>
  </si>
  <si>
    <t>Повторные тесты в одном месте расходятся и зависят от метода либо устройства.</t>
  </si>
  <si>
    <t>R-07</t>
  </si>
  <si>
    <t>Браузер не даёт надёжно определить оператора и реальную технологию сети.</t>
  </si>
  <si>
    <t>Ручной выбор с «неизвестно»; не считать effectiveType фактическим 4G/5G. Не делать сбор зависимым от Network Information API. US-06.</t>
  </si>
  <si>
    <t>Поле недоступно в Safari/Firefox либо противоречит настройкам устройства.</t>
  </si>
  <si>
    <t>R-08</t>
  </si>
  <si>
    <t>Зелёный цвет воспринимают как гарантию видеосвязи или оплаты.</t>
  </si>
  <si>
    <t>Объяснение критериев и предварительного характера оценки; не обещать работу касс по скорости; полевые проверки ложных положительных оценок. US-03.</t>
  </si>
  <si>
    <t>Пользователи говорят «точно будет работать» либо задача срывается в зелёной зоне.</t>
  </si>
  <si>
    <t>R-09</t>
  </si>
  <si>
    <t>Объём работ превышает ресурсы двух разработчиков.</t>
  </si>
  <si>
    <t>Оценить Must до календарного плана, ограничить географию и два профиля; автоматический тест и маршруты отложить.</t>
  </si>
  <si>
    <t>Суммарная оценка Must превышает доступную ёмкость команды.</t>
  </si>
  <si>
    <t>R-10</t>
  </si>
  <si>
    <t>Карты, геокодер или хостинг недоступны, дорожают либо ограничивают использование.</t>
  </si>
  <si>
    <t>Выбрать провайдера по условиям, лимитам и доступности; абстрагировать провайдер карты, предусмотреть текстовую карточку при сбое подложки.</t>
  </si>
  <si>
    <t>429/5xx, рост задержек или расходов выше согласованного бюджета.</t>
  </si>
  <si>
    <t>R-11</t>
  </si>
  <si>
    <t>Ошибка прав, XSS или захват сессии ведут к изменению данных и утечке.</t>
  </si>
  <si>
    <t>Серверные роли, безопасные сессии, экранирование, ограничения запросов, отрицательные тесты. При инциденте отключить запись, отозвать сессии. NFR-04.</t>
  </si>
  <si>
    <t>Успешная операция вне роли или исполняемый ввод в интерфейсе.</t>
  </si>
  <si>
    <t>R-12</t>
  </si>
  <si>
    <t>Неподготовленная обработка пользовательских и географических данных задержит публичный запуск.</t>
  </si>
  <si>
    <t>До запуска определить состав данных, сроки хранения, размещение и условия обработки с профильной проверкой. Это задача проверки, а не утверждение о юридическом соответствии.</t>
  </si>
  <si>
    <t>Нет утверждённого описания обработки, удаления и ответственности за данные.</t>
  </si>
  <si>
    <t>R-13</t>
  </si>
  <si>
    <t>Ограничения сети или конкретного сервиса ошибочно принимаются за проблему радиопокрытия.</t>
  </si>
  <si>
    <t>Не диагностировать причину по одному speed test; отдельно фиксировать недоступность конкретной задачи. Указывать границы вывода. US-03, US-07.</t>
  </si>
  <si>
    <t>Скорость достаточная, но отдельные приложения систематически недоступны.</t>
  </si>
  <si>
    <t>R-14</t>
  </si>
  <si>
    <t>Сбой БД или ошибочная модерация уничтожает накопленные данные.</t>
  </si>
  <si>
    <t>Ежедневные резервные копии, восстановление на стенде, обратимое скрытие и журнал решений; применять журнал удалений после восстановления. NFR-09.</t>
  </si>
  <si>
    <t>Пропущена копия или контрольное восстановление не укладывается в RTO.</t>
  </si>
  <si>
    <t>Цифра47 / Связь47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</si>
</sst>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name val="Carlito"/>
    </font>
    <font>
      <sz val="11"/>
      <color rgb="FF243247"/>
      <name val="Arial"/>
    </font>
    <font>
      <b/>
      <sz val="15"/>
      <color rgb="FF243247"/>
      <name val="Arial"/>
    </font>
    <font>
      <sz val="10"/>
      <color rgb="FF556477"/>
      <name val="Arial"/>
    </font>
    <font>
      <b/>
      <sz val="11"/>
      <color rgb="FFFFFFFF"/>
      <name val="Arial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243B58"/>
      </patternFill>
    </fill>
    <fill>
      <patternFill patternType="solid">
        <fgColor rgb="FFF1F5F9"/>
      </patternFill>
    </fill>
    <fill>
      <patternFill patternType="solid">
        <fgColor rgb="FF243B58"/>
      </patternFill>
    </fill>
    <fill>
      <patternFill patternType="solid">
        <fgColor rgb="FFE2F0DA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0" borderId="0" xfId="1" applyNumberFormat="1" applyFont="1" applyFill="1" applyBorder="1"/>
    <xf numFmtId="0" fontId="2" fillId="0" borderId="0" xfId="1" applyNumberFormat="1" applyFont="1" applyFill="1" applyBorder="1"/>
    <xf numFmtId="0" fontId="3" fillId="0" borderId="0" xfId="1" applyNumberFormat="1" applyFont="1" applyFill="1" applyBorder="1"/>
    <xf numFmtId="0" fontId="1" fillId="0" borderId="0" xfId="1" applyNumberFormat="1" applyFont="1" applyFill="1" applyBorder="1" applyAlignment="1">
      <alignment vertical="top" wrapText="1"/>
    </xf>
    <xf numFmtId="0" fontId="4" fillId="2" borderId="0" xfId="1" applyNumberFormat="1" applyFont="1" applyFill="1" applyBorder="1" applyAlignment="1">
      <alignment horizontal="center" vertical="center" wrapText="1"/>
    </xf>
    <xf numFmtId="0" fontId="1" fillId="3" borderId="0" xfId="1" applyNumberFormat="1" applyFont="1" applyFill="1" applyBorder="1" applyAlignment="1">
      <alignment vertical="top" wrapText="1"/>
    </xf>
    <xf numFmtId="0" fontId="4" fillId="4" borderId="0" xfId="1" applyNumberFormat="1" applyFont="1" applyFill="1" applyBorder="1" applyAlignment="1">
      <alignment horizontal="center" vertical="center" wrapText="1"/>
    </xf>
    <xf numFmtId="0" fontId="1" fillId="5" borderId="0" xfId="1" applyNumberFormat="1" applyFont="1" applyFill="1" applyBorder="1" applyAlignment="1">
      <alignment vertical="top" wrapText="1"/>
    </xf>
    <xf numFmtId="0" fontId="1" fillId="6" borderId="0" xfId="1" applyNumberFormat="1" applyFont="1" applyFill="1" applyBorder="1" applyAlignment="1">
      <alignment vertical="top" wrapText="1"/>
    </xf>
  </cellXfs>
  <cellStyles count="2">
    <cellStyle name="Normal" xfId="1"/>
    <cellStyle name="Обычный" xfId="0" builtinId="0"/>
  </cellStyles>
  <dxfs count="5">
    <dxf>
      <font>
        <b/>
        <color rgb="FF9D2525"/>
      </font>
      <fill>
        <patternFill>
          <bgColor rgb="FFFDE2DF"/>
        </patternFill>
      </fill>
    </dxf>
    <dxf>
      <fill>
        <patternFill>
          <bgColor rgb="FFE2E8F0"/>
        </patternFill>
      </fill>
    </dxf>
    <dxf>
      <fill>
        <patternFill>
          <bgColor rgb="FFE2F0DA"/>
        </patternFill>
      </fill>
    </dxf>
    <dxf>
      <fill>
        <patternFill>
          <bgColor rgb="FFFFF0C2"/>
        </patternFill>
      </fill>
    </dxf>
    <dxf>
      <fill>
        <patternFill>
          <bgColor rgb="FFFDE2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9" name="RussiaComparison" displayName="RussiaComparison" ref="A6:H24" totalsRowShown="0">
  <tableColumns count="8">
    <tableColumn id="1" name="Параметр"/>
    <tableColumn id="2" name="Цифра47 / Связь47"/>
    <tableColumn id="3" name="Megabitus [S4–S5]"/>
    <tableColumn id="4" name="Zona [S6]"/>
    <tableColumn id="5" name="GeoStations [S7]"/>
    <tableColumn id="6" name="Карта МТС [S8]"/>
    <tableColumn id="7" name="СвязьЕсть: предлагаем"/>
    <tableColumn id="8" name="Вывод для проект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ew2" displayName="Review2" ref="A5:E10" totalsRowShown="0">
  <tableColumns count="5">
    <tableColumn id="1" name="ID"/>
    <tableColumn id="2" name="Отличие"/>
    <tableColumn id="3" name="Польза"/>
    <tableColumn id="4" name="Проверка в пилоте"/>
    <tableColumn id="5" name="Связанные 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view3" displayName="Review3" ref="A5:D11" totalsRowShown="0">
  <tableColumns count="4">
    <tableColumn id="1" name="Вопрос"/>
    <tableColumn id="2" name="Что есть в исходниках"/>
    <tableColumn id="3" name="Предлагаемое решение"/>
    <tableColumn id="4" name="Последстви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ew4" displayName="Review4" ref="A5:G23" totalsRowShown="0">
  <tableColumns count="7">
    <tableColumn id="1" name="ID"/>
    <tableColumn id="2" name="User Story"/>
    <tableColumn id="3" name="FR: функциональные требования"/>
    <tableColumn id="4" name="NFR"/>
    <tableColumn id="5" name="MoSCoW"/>
    <tableColumn id="6" name="Обоснование"/>
    <tableColumn id="7" name="Критерий приёмки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view5" displayName="Review5" ref="A5:E17" totalsRowShown="0">
  <tableColumns count="5">
    <tableColumn id="1" name="ID"/>
    <tableColumn id="2" name="Категория"/>
    <tableColumn id="3" name="Требование и метрика"/>
    <tableColumn id="4" name="Проверка"/>
    <tableColumn id="5" name="Приоритет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view6" displayName="Review6" ref="A5:C15" totalsRowShown="0">
  <tableColumns count="3">
    <tableColumn id="1" name="Правило"/>
    <tableColumn id="2" name="Предложение для пилота"/>
    <tableColumn id="3" name="Зачем / ограниче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view7" displayName="Review7" ref="A5:D9" totalsRowShown="0">
  <tableColumns count="4">
    <tableColumn id="1" name="Приоритет"/>
    <tableColumn id="2" name="Истории"/>
    <tableColumn id="3" name="Что входит"/>
    <tableColumn id="4" name="Причина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view8" displayName="Review8" ref="A5:I19" totalsRowShown="0">
  <tableColumns count="9">
    <tableColumn id="1" name="ID"/>
    <tableColumn id="2" name="Риск и последствие"/>
    <tableColumn id="3" name="В"/>
    <tableColumn id="4" name="И"/>
    <tableColumn id="5" name="Балл"/>
    <tableColumn id="6" name="Уровень"/>
    <tableColumn id="7" name="Меры снижения / резервный вариант"/>
    <tableColumn id="8" name="Индикатор"/>
    <tableColumn id="9" name="Владеле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5" sqref="A5"/>
    </sheetView>
  </sheetViews>
  <sheetFormatPr defaultRowHeight="14.25"/>
  <cols>
    <col min="1" max="1" width="31.125" customWidth="1"/>
    <col min="2" max="3" width="26.125" customWidth="1"/>
    <col min="4" max="4" width="25" customWidth="1"/>
    <col min="5" max="5" width="25.5" customWidth="1"/>
    <col min="6" max="6" width="25" customWidth="1"/>
    <col min="7" max="7" width="38.375" customWidth="1"/>
    <col min="8" max="8" width="36.12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19.5">
      <c r="A2" s="2" t="s">
        <v>0</v>
      </c>
      <c r="B2" s="1"/>
      <c r="C2" s="1"/>
      <c r="D2" s="1"/>
      <c r="E2" s="1"/>
      <c r="F2" s="1"/>
      <c r="G2" s="1"/>
      <c r="H2" s="1"/>
    </row>
    <row r="3" spans="1:8">
      <c r="A3" s="3" t="s">
        <v>1</v>
      </c>
      <c r="B3" s="3"/>
      <c r="C3" s="3"/>
      <c r="D3" s="3"/>
      <c r="E3" s="3"/>
      <c r="F3" s="3"/>
      <c r="G3" s="3"/>
      <c r="H3" s="3"/>
    </row>
    <row r="4" spans="1:8">
      <c r="A4" s="3" t="s">
        <v>2</v>
      </c>
      <c r="B4" s="3"/>
      <c r="C4" s="3"/>
      <c r="D4" s="3"/>
      <c r="E4" s="3"/>
      <c r="F4" s="3"/>
      <c r="G4" s="3"/>
      <c r="H4" s="3"/>
    </row>
    <row r="5" spans="1:8" ht="33.950000000000003" customHeight="1">
      <c r="A5" s="1"/>
      <c r="B5" s="1"/>
      <c r="C5" s="1"/>
      <c r="D5" s="1"/>
      <c r="E5" s="1"/>
      <c r="F5" s="1"/>
      <c r="G5" s="1"/>
      <c r="H5" s="1"/>
    </row>
    <row r="6" spans="1:8" ht="39.950000000000003" customHeight="1">
      <c r="A6" s="7" t="s">
        <v>3</v>
      </c>
      <c r="B6" s="7" t="s">
        <v>483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</row>
    <row r="7" spans="1:8" ht="48" customHeight="1">
      <c r="A7" s="4" t="s">
        <v>10</v>
      </c>
      <c r="B7" s="4" t="s">
        <v>11</v>
      </c>
      <c r="C7" s="4" t="s">
        <v>12</v>
      </c>
      <c r="D7" s="4" t="s">
        <v>13</v>
      </c>
      <c r="E7" s="4" t="s">
        <v>14</v>
      </c>
      <c r="F7" s="4" t="s">
        <v>15</v>
      </c>
      <c r="G7" s="8" t="s">
        <v>16</v>
      </c>
      <c r="H7" s="9" t="s">
        <v>17</v>
      </c>
    </row>
    <row r="8" spans="1:8" ht="48" customHeight="1">
      <c r="A8" s="4" t="s">
        <v>18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23</v>
      </c>
      <c r="G8" s="8" t="s">
        <v>24</v>
      </c>
      <c r="H8" s="9" t="s">
        <v>25</v>
      </c>
    </row>
    <row r="9" spans="1:8" ht="48" customHeight="1">
      <c r="A9" s="4" t="s">
        <v>26</v>
      </c>
      <c r="B9" s="4" t="s">
        <v>27</v>
      </c>
      <c r="C9" s="4" t="s">
        <v>28</v>
      </c>
      <c r="D9" s="4" t="s">
        <v>29</v>
      </c>
      <c r="E9" s="4" t="s">
        <v>30</v>
      </c>
      <c r="F9" s="4" t="s">
        <v>31</v>
      </c>
      <c r="G9" s="8" t="s">
        <v>32</v>
      </c>
      <c r="H9" s="9" t="s">
        <v>33</v>
      </c>
    </row>
    <row r="10" spans="1:8" ht="48" customHeight="1">
      <c r="A10" s="4" t="s">
        <v>34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39</v>
      </c>
      <c r="G10" s="8" t="s">
        <v>40</v>
      </c>
      <c r="H10" s="9" t="s">
        <v>41</v>
      </c>
    </row>
    <row r="11" spans="1:8" ht="48" customHeight="1">
      <c r="A11" s="4" t="s">
        <v>42</v>
      </c>
      <c r="B11" s="4" t="s">
        <v>43</v>
      </c>
      <c r="C11" s="4" t="s">
        <v>44</v>
      </c>
      <c r="D11" s="4" t="s">
        <v>43</v>
      </c>
      <c r="E11" s="4" t="s">
        <v>45</v>
      </c>
      <c r="F11" s="4" t="s">
        <v>46</v>
      </c>
      <c r="G11" s="8" t="s">
        <v>47</v>
      </c>
      <c r="H11" s="9" t="s">
        <v>48</v>
      </c>
    </row>
    <row r="12" spans="1:8" ht="48" customHeight="1">
      <c r="A12" s="4" t="s">
        <v>49</v>
      </c>
      <c r="B12" s="4" t="s">
        <v>43</v>
      </c>
      <c r="C12" s="4" t="s">
        <v>50</v>
      </c>
      <c r="D12" s="4" t="s">
        <v>51</v>
      </c>
      <c r="E12" s="4" t="s">
        <v>52</v>
      </c>
      <c r="F12" s="4" t="s">
        <v>53</v>
      </c>
      <c r="G12" s="8" t="s">
        <v>54</v>
      </c>
      <c r="H12" s="9" t="s">
        <v>55</v>
      </c>
    </row>
    <row r="13" spans="1:8" ht="48" customHeight="1">
      <c r="A13" s="4" t="s">
        <v>56</v>
      </c>
      <c r="B13" s="4" t="s">
        <v>57</v>
      </c>
      <c r="C13" s="4" t="s">
        <v>58</v>
      </c>
      <c r="D13" s="4" t="s">
        <v>59</v>
      </c>
      <c r="E13" s="4" t="s">
        <v>60</v>
      </c>
      <c r="F13" s="4" t="s">
        <v>60</v>
      </c>
      <c r="G13" s="8" t="s">
        <v>61</v>
      </c>
      <c r="H13" s="9" t="s">
        <v>62</v>
      </c>
    </row>
    <row r="14" spans="1:8" ht="48" customHeight="1">
      <c r="A14" s="4" t="s">
        <v>63</v>
      </c>
      <c r="B14" s="4" t="s">
        <v>64</v>
      </c>
      <c r="C14" s="4" t="s">
        <v>65</v>
      </c>
      <c r="D14" s="4" t="s">
        <v>66</v>
      </c>
      <c r="E14" s="4" t="s">
        <v>67</v>
      </c>
      <c r="F14" s="4" t="s">
        <v>67</v>
      </c>
      <c r="G14" s="8" t="s">
        <v>68</v>
      </c>
      <c r="H14" s="9" t="s">
        <v>69</v>
      </c>
    </row>
    <row r="15" spans="1:8" ht="48" customHeight="1">
      <c r="A15" s="4" t="s">
        <v>70</v>
      </c>
      <c r="B15" s="4" t="s">
        <v>65</v>
      </c>
      <c r="C15" s="4" t="s">
        <v>65</v>
      </c>
      <c r="D15" s="4" t="s">
        <v>71</v>
      </c>
      <c r="E15" s="4" t="s">
        <v>65</v>
      </c>
      <c r="F15" s="4" t="s">
        <v>65</v>
      </c>
      <c r="G15" s="8" t="s">
        <v>72</v>
      </c>
      <c r="H15" s="9" t="s">
        <v>73</v>
      </c>
    </row>
    <row r="16" spans="1:8" ht="48" customHeight="1">
      <c r="A16" s="4" t="s">
        <v>74</v>
      </c>
      <c r="B16" s="4" t="s">
        <v>75</v>
      </c>
      <c r="C16" s="4" t="s">
        <v>65</v>
      </c>
      <c r="D16" s="4" t="s">
        <v>76</v>
      </c>
      <c r="E16" s="4" t="s">
        <v>60</v>
      </c>
      <c r="F16" s="4" t="s">
        <v>77</v>
      </c>
      <c r="G16" s="8" t="s">
        <v>78</v>
      </c>
      <c r="H16" s="9" t="s">
        <v>79</v>
      </c>
    </row>
    <row r="17" spans="1:8" ht="48" customHeight="1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84</v>
      </c>
      <c r="F17" s="4" t="s">
        <v>85</v>
      </c>
      <c r="G17" s="8" t="s">
        <v>86</v>
      </c>
      <c r="H17" s="9" t="s">
        <v>87</v>
      </c>
    </row>
    <row r="18" spans="1:8" ht="48" customHeight="1">
      <c r="A18" s="4" t="s">
        <v>88</v>
      </c>
      <c r="B18" s="4" t="s">
        <v>89</v>
      </c>
      <c r="C18" s="4" t="s">
        <v>90</v>
      </c>
      <c r="D18" s="4" t="s">
        <v>91</v>
      </c>
      <c r="E18" s="4" t="s">
        <v>92</v>
      </c>
      <c r="F18" s="4" t="s">
        <v>93</v>
      </c>
      <c r="G18" s="8" t="s">
        <v>94</v>
      </c>
      <c r="H18" s="9" t="s">
        <v>95</v>
      </c>
    </row>
    <row r="19" spans="1:8" ht="48" customHeight="1">
      <c r="A19" s="4" t="s">
        <v>96</v>
      </c>
      <c r="B19" s="4" t="s">
        <v>97</v>
      </c>
      <c r="C19" s="4" t="s">
        <v>98</v>
      </c>
      <c r="D19" s="4" t="s">
        <v>99</v>
      </c>
      <c r="E19" s="4" t="s">
        <v>100</v>
      </c>
      <c r="F19" s="4" t="s">
        <v>101</v>
      </c>
      <c r="G19" s="8" t="s">
        <v>102</v>
      </c>
      <c r="H19" s="9" t="s">
        <v>103</v>
      </c>
    </row>
    <row r="20" spans="1:8" ht="48" customHeight="1">
      <c r="A20" s="4" t="s">
        <v>104</v>
      </c>
      <c r="B20" s="4" t="s">
        <v>105</v>
      </c>
      <c r="C20" s="4" t="s">
        <v>65</v>
      </c>
      <c r="D20" s="4" t="s">
        <v>65</v>
      </c>
      <c r="E20" s="4" t="s">
        <v>60</v>
      </c>
      <c r="F20" s="4" t="s">
        <v>65</v>
      </c>
      <c r="G20" s="8" t="s">
        <v>106</v>
      </c>
      <c r="H20" s="9" t="s">
        <v>107</v>
      </c>
    </row>
    <row r="21" spans="1:8" ht="48" customHeight="1">
      <c r="A21" s="4" t="s">
        <v>108</v>
      </c>
      <c r="B21" s="4" t="s">
        <v>65</v>
      </c>
      <c r="C21" s="4" t="s">
        <v>65</v>
      </c>
      <c r="D21" s="4" t="s">
        <v>65</v>
      </c>
      <c r="E21" s="4" t="s">
        <v>60</v>
      </c>
      <c r="F21" s="4" t="s">
        <v>65</v>
      </c>
      <c r="G21" s="8" t="s">
        <v>109</v>
      </c>
      <c r="H21" s="9" t="s">
        <v>110</v>
      </c>
    </row>
    <row r="22" spans="1:8" ht="48" customHeight="1">
      <c r="A22" s="4" t="s">
        <v>111</v>
      </c>
      <c r="B22" s="4" t="s">
        <v>112</v>
      </c>
      <c r="C22" s="4" t="s">
        <v>113</v>
      </c>
      <c r="D22" s="4" t="s">
        <v>65</v>
      </c>
      <c r="E22" s="4" t="s">
        <v>114</v>
      </c>
      <c r="F22" s="4" t="s">
        <v>115</v>
      </c>
      <c r="G22" s="8" t="s">
        <v>116</v>
      </c>
      <c r="H22" s="9" t="s">
        <v>117</v>
      </c>
    </row>
    <row r="23" spans="1:8" ht="48" customHeight="1">
      <c r="A23" s="4" t="s">
        <v>118</v>
      </c>
      <c r="B23" s="4" t="s">
        <v>119</v>
      </c>
      <c r="C23" s="4" t="s">
        <v>65</v>
      </c>
      <c r="D23" s="4" t="s">
        <v>120</v>
      </c>
      <c r="E23" s="4" t="s">
        <v>60</v>
      </c>
      <c r="F23" s="4" t="s">
        <v>60</v>
      </c>
      <c r="G23" s="8" t="s">
        <v>121</v>
      </c>
      <c r="H23" s="9" t="s">
        <v>122</v>
      </c>
    </row>
    <row r="24" spans="1:8" ht="48" customHeight="1">
      <c r="A24" s="4" t="s">
        <v>123</v>
      </c>
      <c r="B24" s="4" t="s">
        <v>124</v>
      </c>
      <c r="C24" s="4" t="s">
        <v>65</v>
      </c>
      <c r="D24" s="4" t="s">
        <v>65</v>
      </c>
      <c r="E24" s="4" t="s">
        <v>65</v>
      </c>
      <c r="F24" s="4" t="s">
        <v>65</v>
      </c>
      <c r="G24" s="8" t="s">
        <v>125</v>
      </c>
      <c r="H24" s="9" t="s">
        <v>126</v>
      </c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 ht="30" customHeight="1">
      <c r="A27" s="1"/>
      <c r="B27" s="1"/>
      <c r="C27" s="1"/>
      <c r="D27" s="1"/>
    </row>
    <row r="28" spans="1:8" ht="93.75" customHeight="1">
      <c r="A28" s="1"/>
      <c r="B28" s="1"/>
      <c r="C28" s="1"/>
      <c r="D28" s="1"/>
    </row>
    <row r="29" spans="1:8" ht="93.75" customHeight="1">
      <c r="A29" s="1"/>
      <c r="B29" s="1"/>
      <c r="C29" s="1"/>
      <c r="D29" s="1"/>
    </row>
    <row r="30" spans="1:8" ht="93.75" customHeight="1">
      <c r="A30" s="1"/>
      <c r="B30" s="1"/>
      <c r="C30" s="1"/>
      <c r="D30" s="1"/>
    </row>
    <row r="31" spans="1:8" ht="93.75" customHeight="1">
      <c r="A31" s="1"/>
      <c r="B31" s="1"/>
      <c r="C31" s="1"/>
      <c r="D31" s="1"/>
    </row>
    <row r="32" spans="1:8" ht="93.75" customHeight="1">
      <c r="A32" s="1"/>
      <c r="B32" s="1"/>
      <c r="C32" s="1"/>
      <c r="D32" s="1"/>
    </row>
    <row r="33" spans="1:8" ht="93.75" customHeight="1">
      <c r="A33" s="1"/>
      <c r="B33" s="1"/>
      <c r="C33" s="1"/>
      <c r="D33" s="1"/>
    </row>
    <row r="34" spans="1:8" ht="93.75" customHeight="1">
      <c r="A34" s="1"/>
      <c r="B34" s="1"/>
      <c r="C34" s="1"/>
      <c r="D34" s="1"/>
    </row>
    <row r="35" spans="1:8" ht="93.75" customHeight="1">
      <c r="A35" s="1"/>
      <c r="B35" s="1"/>
      <c r="C35" s="1"/>
      <c r="D35" s="1"/>
    </row>
    <row r="36" spans="1:8">
      <c r="A36" s="1"/>
      <c r="B36" s="1"/>
      <c r="C36" s="1"/>
      <c r="D36" s="1"/>
    </row>
    <row r="37" spans="1:8">
      <c r="A37" s="1"/>
      <c r="B37" s="1"/>
      <c r="C37" s="1"/>
      <c r="D37" s="1"/>
    </row>
    <row r="38" spans="1:8">
      <c r="A38" s="1"/>
      <c r="B38" s="1"/>
      <c r="C38" s="1"/>
      <c r="D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875" customWidth="1"/>
    <col min="2" max="2" width="26.625" customWidth="1"/>
    <col min="3" max="3" width="31.125" customWidth="1"/>
    <col min="4" max="4" width="46.625" customWidth="1"/>
    <col min="5" max="5" width="20" customWidth="1"/>
  </cols>
  <sheetData>
    <row r="1" spans="1:5">
      <c r="A1" s="1"/>
      <c r="B1" s="1"/>
      <c r="C1" s="1"/>
      <c r="D1" s="1"/>
      <c r="E1" s="1"/>
    </row>
    <row r="2" spans="1:5" ht="19.5">
      <c r="A2" s="2" t="s">
        <v>127</v>
      </c>
      <c r="B2" s="1"/>
      <c r="C2" s="1"/>
      <c r="D2" s="1"/>
      <c r="E2" s="1"/>
    </row>
    <row r="3" spans="1:5">
      <c r="A3" s="3" t="s">
        <v>128</v>
      </c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 ht="33.950000000000003" customHeight="1">
      <c r="A5" s="5" t="s">
        <v>129</v>
      </c>
      <c r="B5" s="5" t="s">
        <v>130</v>
      </c>
      <c r="C5" s="5" t="s">
        <v>131</v>
      </c>
      <c r="D5" s="5" t="s">
        <v>132</v>
      </c>
      <c r="E5" s="5" t="s">
        <v>133</v>
      </c>
    </row>
    <row r="6" spans="1:5" ht="97.5" customHeight="1">
      <c r="A6" s="4" t="s">
        <v>134</v>
      </c>
      <c r="B6" s="4" t="s">
        <v>135</v>
      </c>
      <c r="C6" s="4" t="s">
        <v>136</v>
      </c>
      <c r="D6" s="4" t="s">
        <v>137</v>
      </c>
      <c r="E6" s="4" t="s">
        <v>138</v>
      </c>
    </row>
    <row r="7" spans="1:5" ht="97.5" customHeight="1">
      <c r="A7" s="6" t="s">
        <v>139</v>
      </c>
      <c r="B7" s="6" t="s">
        <v>140</v>
      </c>
      <c r="C7" s="6" t="s">
        <v>141</v>
      </c>
      <c r="D7" s="6" t="s">
        <v>142</v>
      </c>
      <c r="E7" s="6" t="s">
        <v>143</v>
      </c>
    </row>
    <row r="8" spans="1:5" ht="97.5" customHeight="1">
      <c r="A8" s="4" t="s">
        <v>144</v>
      </c>
      <c r="B8" s="4" t="s">
        <v>145</v>
      </c>
      <c r="C8" s="4" t="s">
        <v>146</v>
      </c>
      <c r="D8" s="4" t="s">
        <v>147</v>
      </c>
      <c r="E8" s="4" t="s">
        <v>148</v>
      </c>
    </row>
    <row r="9" spans="1:5" ht="97.5" customHeight="1">
      <c r="A9" s="6" t="s">
        <v>149</v>
      </c>
      <c r="B9" s="6" t="s">
        <v>150</v>
      </c>
      <c r="C9" s="6" t="s">
        <v>151</v>
      </c>
      <c r="D9" s="6" t="s">
        <v>152</v>
      </c>
      <c r="E9" s="6" t="s">
        <v>153</v>
      </c>
    </row>
    <row r="10" spans="1:5" ht="97.5" customHeight="1">
      <c r="A10" s="4" t="s">
        <v>154</v>
      </c>
      <c r="B10" s="4" t="s">
        <v>155</v>
      </c>
      <c r="C10" s="4" t="s">
        <v>156</v>
      </c>
      <c r="D10" s="4" t="s">
        <v>157</v>
      </c>
      <c r="E10" s="4" t="s">
        <v>158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20" customWidth="1"/>
    <col min="2" max="2" width="36.625" customWidth="1"/>
    <col min="3" max="3" width="41.125" customWidth="1"/>
    <col min="4" max="4" width="34.5" customWidth="1"/>
  </cols>
  <sheetData>
    <row r="1" spans="1:4">
      <c r="A1" s="1"/>
      <c r="B1" s="1"/>
      <c r="C1" s="1"/>
      <c r="D1" s="1"/>
    </row>
    <row r="2" spans="1:4" ht="19.5">
      <c r="A2" s="2" t="s">
        <v>159</v>
      </c>
      <c r="B2" s="1"/>
      <c r="C2" s="1"/>
      <c r="D2" s="1"/>
    </row>
    <row r="3" spans="1:4">
      <c r="A3" s="3" t="s">
        <v>160</v>
      </c>
      <c r="B3" s="1"/>
      <c r="C3" s="1"/>
      <c r="D3" s="1"/>
    </row>
    <row r="4" spans="1:4">
      <c r="A4" s="1"/>
      <c r="B4" s="1"/>
      <c r="C4" s="1"/>
      <c r="D4" s="1"/>
    </row>
    <row r="5" spans="1:4" ht="33.950000000000003" customHeight="1">
      <c r="A5" s="5" t="s">
        <v>161</v>
      </c>
      <c r="B5" s="5" t="s">
        <v>162</v>
      </c>
      <c r="C5" s="5" t="s">
        <v>163</v>
      </c>
      <c r="D5" s="5" t="s">
        <v>164</v>
      </c>
    </row>
    <row r="6" spans="1:4" ht="48" customHeight="1">
      <c r="A6" s="4" t="s">
        <v>165</v>
      </c>
      <c r="B6" s="4" t="s">
        <v>166</v>
      </c>
      <c r="C6" s="4" t="s">
        <v>167</v>
      </c>
      <c r="D6" s="4" t="s">
        <v>168</v>
      </c>
    </row>
    <row r="7" spans="1:4" ht="48" customHeight="1">
      <c r="A7" s="6" t="s">
        <v>169</v>
      </c>
      <c r="B7" s="6" t="s">
        <v>170</v>
      </c>
      <c r="C7" s="6" t="s">
        <v>171</v>
      </c>
      <c r="D7" s="6" t="s">
        <v>172</v>
      </c>
    </row>
    <row r="8" spans="1:4" ht="48" customHeight="1">
      <c r="A8" s="4" t="s">
        <v>173</v>
      </c>
      <c r="B8" s="4" t="s">
        <v>174</v>
      </c>
      <c r="C8" s="4" t="s">
        <v>175</v>
      </c>
      <c r="D8" s="4" t="s">
        <v>176</v>
      </c>
    </row>
    <row r="9" spans="1:4" ht="48" customHeight="1">
      <c r="A9" s="6" t="s">
        <v>177</v>
      </c>
      <c r="B9" s="6" t="s">
        <v>178</v>
      </c>
      <c r="C9" s="6" t="s">
        <v>179</v>
      </c>
      <c r="D9" s="6" t="s">
        <v>180</v>
      </c>
    </row>
    <row r="10" spans="1:4" ht="48" customHeight="1">
      <c r="A10" s="4" t="s">
        <v>181</v>
      </c>
      <c r="B10" s="4" t="s">
        <v>182</v>
      </c>
      <c r="C10" s="4" t="s">
        <v>183</v>
      </c>
      <c r="D10" s="4" t="s">
        <v>184</v>
      </c>
    </row>
    <row r="11" spans="1:4" ht="48" customHeight="1">
      <c r="A11" s="6" t="s">
        <v>185</v>
      </c>
      <c r="B11" s="6" t="s">
        <v>186</v>
      </c>
      <c r="C11" s="6" t="s">
        <v>187</v>
      </c>
      <c r="D11" s="6" t="s">
        <v>188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showGridLines="0" workbookViewId="0">
      <pane ySplit="5" topLeftCell="A6" activePane="bottomLeft" state="frozen"/>
      <selection pane="bottomLeft" activeCell="E15" sqref="E15"/>
    </sheetView>
  </sheetViews>
  <sheetFormatPr defaultRowHeight="14.25"/>
  <cols>
    <col min="1" max="1" width="10" customWidth="1"/>
    <col min="2" max="2" width="36.625" customWidth="1"/>
    <col min="3" max="3" width="55.5" customWidth="1"/>
    <col min="4" max="4" width="22.25" hidden="1" customWidth="1"/>
    <col min="5" max="5" width="12.25" customWidth="1"/>
    <col min="6" max="6" width="28.875" hidden="1" customWidth="1"/>
    <col min="7" max="7" width="43.375" customWidth="1"/>
  </cols>
  <sheetData>
    <row r="1" spans="1:7">
      <c r="A1" s="1"/>
      <c r="B1" s="1"/>
      <c r="C1" s="1"/>
      <c r="D1" s="1"/>
      <c r="E1" s="1"/>
      <c r="F1" s="1"/>
      <c r="G1" s="1"/>
    </row>
    <row r="2" spans="1:7" ht="19.5">
      <c r="A2" s="2" t="s">
        <v>189</v>
      </c>
      <c r="B2" s="1"/>
      <c r="C2" s="1"/>
      <c r="D2" s="1"/>
      <c r="E2" s="1"/>
      <c r="F2" s="1"/>
      <c r="G2" s="1"/>
    </row>
    <row r="3" spans="1:7">
      <c r="A3" s="3" t="s">
        <v>190</v>
      </c>
      <c r="B3" s="1"/>
      <c r="C3" s="1"/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 ht="33.950000000000003" customHeight="1">
      <c r="A5" s="5" t="s">
        <v>129</v>
      </c>
      <c r="B5" s="5" t="s">
        <v>191</v>
      </c>
      <c r="C5" s="5" t="s">
        <v>192</v>
      </c>
      <c r="D5" s="5" t="s">
        <v>193</v>
      </c>
      <c r="E5" s="5" t="s">
        <v>194</v>
      </c>
      <c r="F5" s="5" t="s">
        <v>195</v>
      </c>
      <c r="G5" s="5" t="s">
        <v>196</v>
      </c>
    </row>
    <row r="6" spans="1:7" ht="48" customHeight="1">
      <c r="A6" s="4" t="s">
        <v>197</v>
      </c>
      <c r="B6" s="4" t="s">
        <v>198</v>
      </c>
      <c r="C6" s="4" t="s">
        <v>199</v>
      </c>
      <c r="D6" s="4" t="s">
        <v>200</v>
      </c>
      <c r="E6" s="4" t="s">
        <v>201</v>
      </c>
      <c r="F6" s="4" t="s">
        <v>202</v>
      </c>
      <c r="G6" s="4" t="s">
        <v>203</v>
      </c>
    </row>
    <row r="7" spans="1:7" ht="48" customHeight="1">
      <c r="A7" s="6" t="s">
        <v>204</v>
      </c>
      <c r="B7" s="6" t="s">
        <v>205</v>
      </c>
      <c r="C7" s="6" t="s">
        <v>206</v>
      </c>
      <c r="D7" s="6" t="s">
        <v>207</v>
      </c>
      <c r="E7" s="6" t="s">
        <v>201</v>
      </c>
      <c r="F7" s="6" t="s">
        <v>208</v>
      </c>
      <c r="G7" s="6" t="s">
        <v>209</v>
      </c>
    </row>
    <row r="8" spans="1:7" ht="55.5" customHeight="1">
      <c r="A8" s="4" t="s">
        <v>210</v>
      </c>
      <c r="B8" s="4" t="s">
        <v>211</v>
      </c>
      <c r="C8" s="4" t="s">
        <v>212</v>
      </c>
      <c r="D8" s="4" t="s">
        <v>213</v>
      </c>
      <c r="E8" s="4" t="s">
        <v>201</v>
      </c>
      <c r="F8" s="4" t="s">
        <v>214</v>
      </c>
      <c r="G8" s="4" t="s">
        <v>215</v>
      </c>
    </row>
    <row r="9" spans="1:7" ht="55.5" customHeight="1">
      <c r="A9" s="6" t="s">
        <v>216</v>
      </c>
      <c r="B9" s="6" t="s">
        <v>217</v>
      </c>
      <c r="C9" s="6" t="s">
        <v>218</v>
      </c>
      <c r="D9" s="6" t="s">
        <v>219</v>
      </c>
      <c r="E9" s="6"/>
      <c r="F9" s="6" t="s">
        <v>220</v>
      </c>
      <c r="G9" s="6" t="s">
        <v>221</v>
      </c>
    </row>
    <row r="10" spans="1:7" ht="55.5" customHeight="1">
      <c r="A10" s="4" t="s">
        <v>222</v>
      </c>
      <c r="B10" s="4" t="s">
        <v>223</v>
      </c>
      <c r="C10" s="4" t="s">
        <v>224</v>
      </c>
      <c r="D10" s="4" t="s">
        <v>225</v>
      </c>
      <c r="E10" s="4" t="s">
        <v>201</v>
      </c>
      <c r="F10" s="4" t="s">
        <v>226</v>
      </c>
      <c r="G10" s="4" t="s">
        <v>227</v>
      </c>
    </row>
    <row r="11" spans="1:7" ht="69" customHeight="1">
      <c r="A11" s="6" t="s">
        <v>228</v>
      </c>
      <c r="B11" s="6" t="s">
        <v>229</v>
      </c>
      <c r="C11" s="6" t="s">
        <v>230</v>
      </c>
      <c r="D11" s="6" t="s">
        <v>231</v>
      </c>
      <c r="E11" s="6" t="s">
        <v>201</v>
      </c>
      <c r="F11" s="6" t="s">
        <v>232</v>
      </c>
      <c r="G11" s="6" t="s">
        <v>233</v>
      </c>
    </row>
    <row r="12" spans="1:7" ht="55.5" customHeight="1">
      <c r="A12" s="4" t="s">
        <v>234</v>
      </c>
      <c r="B12" s="4" t="s">
        <v>235</v>
      </c>
      <c r="C12" s="4" t="s">
        <v>236</v>
      </c>
      <c r="D12" s="4" t="s">
        <v>231</v>
      </c>
      <c r="E12" s="4" t="s">
        <v>201</v>
      </c>
      <c r="F12" s="4" t="s">
        <v>237</v>
      </c>
      <c r="G12" s="4" t="s">
        <v>238</v>
      </c>
    </row>
    <row r="13" spans="1:7" ht="55.5" customHeight="1">
      <c r="A13" s="6" t="s">
        <v>239</v>
      </c>
      <c r="B13" s="6" t="s">
        <v>240</v>
      </c>
      <c r="C13" s="6" t="s">
        <v>241</v>
      </c>
      <c r="D13" s="6" t="s">
        <v>242</v>
      </c>
      <c r="E13" s="6" t="s">
        <v>201</v>
      </c>
      <c r="F13" s="6" t="s">
        <v>243</v>
      </c>
      <c r="G13" s="6" t="s">
        <v>244</v>
      </c>
    </row>
    <row r="14" spans="1:7" ht="55.5" customHeight="1">
      <c r="A14" s="4" t="s">
        <v>245</v>
      </c>
      <c r="B14" s="4" t="s">
        <v>246</v>
      </c>
      <c r="C14" s="4" t="s">
        <v>247</v>
      </c>
      <c r="D14" s="4" t="s">
        <v>248</v>
      </c>
      <c r="E14" s="4" t="s">
        <v>201</v>
      </c>
      <c r="F14" s="4" t="s">
        <v>249</v>
      </c>
      <c r="G14" s="4" t="s">
        <v>250</v>
      </c>
    </row>
    <row r="15" spans="1:7" ht="55.5" customHeight="1">
      <c r="A15" s="6" t="s">
        <v>251</v>
      </c>
      <c r="B15" s="6" t="s">
        <v>252</v>
      </c>
      <c r="C15" s="6" t="s">
        <v>253</v>
      </c>
      <c r="D15" s="6" t="s">
        <v>254</v>
      </c>
      <c r="E15" s="6" t="s">
        <v>201</v>
      </c>
      <c r="F15" s="6" t="s">
        <v>255</v>
      </c>
      <c r="G15" s="6" t="s">
        <v>256</v>
      </c>
    </row>
    <row r="16" spans="1:7" ht="55.5" customHeight="1">
      <c r="A16" s="4" t="s">
        <v>257</v>
      </c>
      <c r="B16" s="4" t="s">
        <v>258</v>
      </c>
      <c r="C16" s="4" t="s">
        <v>259</v>
      </c>
      <c r="D16" s="4" t="s">
        <v>260</v>
      </c>
      <c r="E16" s="4" t="s">
        <v>201</v>
      </c>
      <c r="F16" s="4" t="s">
        <v>261</v>
      </c>
      <c r="G16" s="4" t="s">
        <v>262</v>
      </c>
    </row>
    <row r="17" spans="1:7" ht="55.5" customHeight="1">
      <c r="A17" s="6" t="s">
        <v>263</v>
      </c>
      <c r="B17" s="6" t="s">
        <v>264</v>
      </c>
      <c r="C17" s="6" t="s">
        <v>265</v>
      </c>
      <c r="D17" s="6" t="s">
        <v>266</v>
      </c>
      <c r="E17" s="6" t="s">
        <v>267</v>
      </c>
      <c r="F17" s="6" t="s">
        <v>268</v>
      </c>
      <c r="G17" s="6" t="s">
        <v>269</v>
      </c>
    </row>
    <row r="18" spans="1:7" ht="48" customHeight="1">
      <c r="A18" s="4" t="s">
        <v>270</v>
      </c>
      <c r="B18" s="4" t="s">
        <v>271</v>
      </c>
      <c r="C18" s="4" t="s">
        <v>272</v>
      </c>
      <c r="D18" s="4" t="s">
        <v>207</v>
      </c>
      <c r="E18" s="4" t="s">
        <v>267</v>
      </c>
      <c r="F18" s="4" t="s">
        <v>273</v>
      </c>
      <c r="G18" s="4" t="s">
        <v>274</v>
      </c>
    </row>
    <row r="19" spans="1:7" ht="48" customHeight="1">
      <c r="A19" s="6" t="s">
        <v>275</v>
      </c>
      <c r="B19" s="6" t="s">
        <v>276</v>
      </c>
      <c r="C19" s="6" t="s">
        <v>277</v>
      </c>
      <c r="D19" s="6" t="s">
        <v>278</v>
      </c>
      <c r="E19" s="6" t="s">
        <v>267</v>
      </c>
      <c r="F19" s="6" t="s">
        <v>279</v>
      </c>
      <c r="G19" s="6" t="s">
        <v>280</v>
      </c>
    </row>
    <row r="20" spans="1:7" ht="48" customHeight="1">
      <c r="A20" s="4" t="s">
        <v>281</v>
      </c>
      <c r="B20" s="4" t="s">
        <v>282</v>
      </c>
      <c r="C20" s="4" t="s">
        <v>283</v>
      </c>
      <c r="D20" s="4" t="s">
        <v>284</v>
      </c>
      <c r="E20" s="4" t="s">
        <v>267</v>
      </c>
      <c r="F20" s="4" t="s">
        <v>285</v>
      </c>
      <c r="G20" s="4" t="s">
        <v>286</v>
      </c>
    </row>
    <row r="21" spans="1:7" ht="48" customHeight="1">
      <c r="A21" s="6" t="s">
        <v>287</v>
      </c>
      <c r="B21" s="6" t="s">
        <v>288</v>
      </c>
      <c r="C21" s="6" t="s">
        <v>289</v>
      </c>
      <c r="D21" s="6" t="s">
        <v>290</v>
      </c>
      <c r="E21" s="6" t="s">
        <v>291</v>
      </c>
      <c r="F21" s="6" t="s">
        <v>292</v>
      </c>
      <c r="G21" s="6" t="s">
        <v>293</v>
      </c>
    </row>
    <row r="22" spans="1:7" ht="55.5" customHeight="1">
      <c r="A22" s="4" t="s">
        <v>294</v>
      </c>
      <c r="B22" s="4" t="s">
        <v>295</v>
      </c>
      <c r="C22" s="4" t="s">
        <v>296</v>
      </c>
      <c r="D22" s="4" t="s">
        <v>297</v>
      </c>
      <c r="E22" s="4" t="s">
        <v>298</v>
      </c>
      <c r="F22" s="4" t="s">
        <v>299</v>
      </c>
      <c r="G22" s="4" t="s">
        <v>300</v>
      </c>
    </row>
    <row r="23" spans="1:7" ht="55.5" customHeight="1">
      <c r="A23" s="6" t="s">
        <v>301</v>
      </c>
      <c r="B23" s="6" t="s">
        <v>302</v>
      </c>
      <c r="C23" s="6" t="s">
        <v>303</v>
      </c>
      <c r="D23" s="6" t="s">
        <v>304</v>
      </c>
      <c r="E23" s="6" t="s">
        <v>298</v>
      </c>
      <c r="F23" s="6" t="s">
        <v>305</v>
      </c>
      <c r="G23" s="6" t="s">
        <v>306</v>
      </c>
    </row>
  </sheetData>
  <conditionalFormatting sqref="E6:E23">
    <cfRule type="containsText" dxfId="4" priority="1" operator="containsText" text="Must"/>
    <cfRule type="containsText" dxfId="3" priority="2" operator="containsText" text="Should"/>
    <cfRule type="containsText" dxfId="2" priority="3" operator="containsText" text="Could"/>
    <cfRule type="containsText" dxfId="1" priority="4" operator="containsText" text="Won’t"/>
  </conditionalFormatting>
  <dataValidations count="1">
    <dataValidation type="list" sqref="E6:E23">
      <formula1>"Must,Should,Could,Won’t"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showGridLines="0" workbookViewId="0">
      <pane ySplit="5" topLeftCell="A6" activePane="bottomLeft" state="frozen"/>
      <selection pane="bottomLeft" activeCell="C9" sqref="C9"/>
    </sheetView>
  </sheetViews>
  <sheetFormatPr defaultRowHeight="14.25"/>
  <cols>
    <col min="1" max="1" width="11.125" customWidth="1"/>
    <col min="2" max="2" width="20" customWidth="1"/>
    <col min="3" max="3" width="58.875" customWidth="1"/>
    <col min="4" max="4" width="45.5" customWidth="1"/>
    <col min="5" max="5" width="21.125" customWidth="1"/>
  </cols>
  <sheetData>
    <row r="1" spans="1:5">
      <c r="A1" s="1"/>
      <c r="B1" s="1"/>
      <c r="C1" s="1"/>
      <c r="D1" s="1"/>
      <c r="E1" s="1"/>
    </row>
    <row r="2" spans="1:5" ht="19.5">
      <c r="A2" s="2" t="s">
        <v>307</v>
      </c>
      <c r="B2" s="1"/>
      <c r="C2" s="1"/>
      <c r="D2" s="1"/>
      <c r="E2" s="1"/>
    </row>
    <row r="3" spans="1:5">
      <c r="A3" s="3" t="s">
        <v>308</v>
      </c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 ht="33.950000000000003" customHeight="1">
      <c r="A5" s="5" t="s">
        <v>129</v>
      </c>
      <c r="B5" s="5" t="s">
        <v>309</v>
      </c>
      <c r="C5" s="5" t="s">
        <v>310</v>
      </c>
      <c r="D5" s="5" t="s">
        <v>311</v>
      </c>
      <c r="E5" s="5" t="s">
        <v>312</v>
      </c>
    </row>
    <row r="6" spans="1:5" ht="55.5" customHeight="1">
      <c r="A6" s="4" t="s">
        <v>313</v>
      </c>
      <c r="B6" s="4" t="s">
        <v>314</v>
      </c>
      <c r="C6" s="4" t="s">
        <v>315</v>
      </c>
      <c r="D6" s="4" t="s">
        <v>316</v>
      </c>
      <c r="E6" s="4" t="s">
        <v>201</v>
      </c>
    </row>
    <row r="7" spans="1:5" ht="55.5" customHeight="1">
      <c r="A7" s="6" t="s">
        <v>317</v>
      </c>
      <c r="B7" s="6" t="s">
        <v>318</v>
      </c>
      <c r="C7" s="6" t="s">
        <v>319</v>
      </c>
      <c r="D7" s="6" t="s">
        <v>320</v>
      </c>
      <c r="E7" s="6" t="s">
        <v>201</v>
      </c>
    </row>
    <row r="8" spans="1:5" ht="55.5" customHeight="1">
      <c r="A8" s="4" t="s">
        <v>321</v>
      </c>
      <c r="B8" s="4" t="s">
        <v>322</v>
      </c>
      <c r="C8" s="4" t="s">
        <v>323</v>
      </c>
      <c r="D8" s="4" t="s">
        <v>324</v>
      </c>
      <c r="E8" s="4" t="s">
        <v>201</v>
      </c>
    </row>
    <row r="9" spans="1:5" ht="55.5" customHeight="1">
      <c r="A9" s="6" t="s">
        <v>325</v>
      </c>
      <c r="B9" s="6" t="s">
        <v>326</v>
      </c>
      <c r="C9" s="6" t="s">
        <v>327</v>
      </c>
      <c r="D9" s="6" t="s">
        <v>328</v>
      </c>
      <c r="E9" s="6" t="s">
        <v>201</v>
      </c>
    </row>
    <row r="10" spans="1:5" ht="55.5" customHeight="1">
      <c r="A10" s="4" t="s">
        <v>329</v>
      </c>
      <c r="B10" s="4" t="s">
        <v>330</v>
      </c>
      <c r="C10" s="4" t="s">
        <v>331</v>
      </c>
      <c r="D10" s="4" t="s">
        <v>332</v>
      </c>
      <c r="E10" s="4" t="s">
        <v>201</v>
      </c>
    </row>
    <row r="11" spans="1:5" ht="55.5" customHeight="1">
      <c r="A11" s="6" t="s">
        <v>333</v>
      </c>
      <c r="B11" s="6" t="s">
        <v>334</v>
      </c>
      <c r="C11" s="6" t="s">
        <v>335</v>
      </c>
      <c r="D11" s="6" t="s">
        <v>336</v>
      </c>
      <c r="E11" s="6" t="s">
        <v>201</v>
      </c>
    </row>
    <row r="12" spans="1:5" ht="48" customHeight="1">
      <c r="A12" s="4" t="s">
        <v>337</v>
      </c>
      <c r="B12" s="4" t="s">
        <v>338</v>
      </c>
      <c r="C12" s="4" t="s">
        <v>339</v>
      </c>
      <c r="D12" s="4" t="s">
        <v>340</v>
      </c>
      <c r="E12" s="4" t="s">
        <v>341</v>
      </c>
    </row>
    <row r="13" spans="1:5" ht="55.5" customHeight="1">
      <c r="A13" s="6" t="s">
        <v>342</v>
      </c>
      <c r="B13" s="6" t="s">
        <v>343</v>
      </c>
      <c r="C13" s="6" t="s">
        <v>344</v>
      </c>
      <c r="D13" s="6" t="s">
        <v>345</v>
      </c>
      <c r="E13" s="6" t="s">
        <v>201</v>
      </c>
    </row>
    <row r="14" spans="1:5" ht="48" customHeight="1">
      <c r="A14" s="4" t="s">
        <v>346</v>
      </c>
      <c r="B14" s="4" t="s">
        <v>347</v>
      </c>
      <c r="C14" s="4" t="s">
        <v>348</v>
      </c>
      <c r="D14" s="4" t="s">
        <v>349</v>
      </c>
      <c r="E14" s="4" t="s">
        <v>201</v>
      </c>
    </row>
    <row r="15" spans="1:5" ht="48" customHeight="1">
      <c r="A15" s="6" t="s">
        <v>350</v>
      </c>
      <c r="B15" s="6" t="s">
        <v>351</v>
      </c>
      <c r="C15" s="6" t="s">
        <v>352</v>
      </c>
      <c r="D15" s="6" t="s">
        <v>353</v>
      </c>
      <c r="E15" s="6" t="s">
        <v>201</v>
      </c>
    </row>
    <row r="16" spans="1:5" ht="48" customHeight="1">
      <c r="A16" s="4" t="s">
        <v>354</v>
      </c>
      <c r="B16" s="4" t="s">
        <v>355</v>
      </c>
      <c r="C16" s="4" t="s">
        <v>356</v>
      </c>
      <c r="D16" s="4" t="s">
        <v>357</v>
      </c>
      <c r="E16" s="4" t="s">
        <v>298</v>
      </c>
    </row>
    <row r="17" spans="1:5" ht="48" customHeight="1">
      <c r="A17" s="6" t="s">
        <v>358</v>
      </c>
      <c r="B17" s="6" t="s">
        <v>359</v>
      </c>
      <c r="C17" s="6" t="s">
        <v>360</v>
      </c>
      <c r="D17" s="6" t="s">
        <v>361</v>
      </c>
      <c r="E17" s="6" t="s">
        <v>298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23.375" customWidth="1"/>
    <col min="2" max="2" width="58.875" customWidth="1"/>
    <col min="3" max="3" width="47.75" customWidth="1"/>
  </cols>
  <sheetData>
    <row r="1" spans="1:3">
      <c r="A1" s="1"/>
      <c r="B1" s="1"/>
      <c r="C1" s="1"/>
    </row>
    <row r="2" spans="1:3" ht="19.5">
      <c r="A2" s="2" t="s">
        <v>362</v>
      </c>
      <c r="B2" s="1"/>
      <c r="C2" s="1"/>
    </row>
    <row r="3" spans="1:3">
      <c r="A3" s="3" t="s">
        <v>363</v>
      </c>
      <c r="B3" s="1"/>
      <c r="C3" s="1"/>
    </row>
    <row r="4" spans="1:3">
      <c r="A4" s="1"/>
      <c r="B4" s="1"/>
      <c r="C4" s="1"/>
    </row>
    <row r="5" spans="1:3" ht="33.950000000000003" customHeight="1">
      <c r="A5" s="5" t="s">
        <v>364</v>
      </c>
      <c r="B5" s="5" t="s">
        <v>365</v>
      </c>
      <c r="C5" s="5" t="s">
        <v>366</v>
      </c>
    </row>
    <row r="6" spans="1:3" ht="48" customHeight="1">
      <c r="A6" s="4" t="s">
        <v>367</v>
      </c>
      <c r="B6" s="4" t="s">
        <v>368</v>
      </c>
      <c r="C6" s="4" t="s">
        <v>369</v>
      </c>
    </row>
    <row r="7" spans="1:3" ht="55.5" customHeight="1">
      <c r="A7" s="6" t="s">
        <v>370</v>
      </c>
      <c r="B7" s="6" t="s">
        <v>371</v>
      </c>
      <c r="C7" s="6" t="s">
        <v>372</v>
      </c>
    </row>
    <row r="8" spans="1:3" ht="48" customHeight="1">
      <c r="A8" s="4" t="s">
        <v>373</v>
      </c>
      <c r="B8" s="4" t="s">
        <v>374</v>
      </c>
      <c r="C8" s="4" t="s">
        <v>375</v>
      </c>
    </row>
    <row r="9" spans="1:3" ht="48" customHeight="1">
      <c r="A9" s="6" t="s">
        <v>376</v>
      </c>
      <c r="B9" s="6" t="s">
        <v>377</v>
      </c>
      <c r="C9" s="6" t="s">
        <v>378</v>
      </c>
    </row>
    <row r="10" spans="1:3" ht="48" customHeight="1">
      <c r="A10" s="4" t="s">
        <v>379</v>
      </c>
      <c r="B10" s="4" t="s">
        <v>380</v>
      </c>
      <c r="C10" s="4" t="s">
        <v>381</v>
      </c>
    </row>
    <row r="11" spans="1:3" ht="48" customHeight="1">
      <c r="A11" s="6" t="s">
        <v>382</v>
      </c>
      <c r="B11" s="6" t="s">
        <v>383</v>
      </c>
      <c r="C11" s="6" t="s">
        <v>384</v>
      </c>
    </row>
    <row r="12" spans="1:3" ht="55.5" customHeight="1">
      <c r="A12" s="4" t="s">
        <v>385</v>
      </c>
      <c r="B12" s="4" t="s">
        <v>386</v>
      </c>
      <c r="C12" s="4" t="s">
        <v>387</v>
      </c>
    </row>
    <row r="13" spans="1:3" ht="55.5" customHeight="1">
      <c r="A13" s="6" t="s">
        <v>388</v>
      </c>
      <c r="B13" s="6" t="s">
        <v>389</v>
      </c>
      <c r="C13" s="6" t="s">
        <v>390</v>
      </c>
    </row>
    <row r="14" spans="1:3" ht="48" customHeight="1">
      <c r="A14" s="4" t="s">
        <v>391</v>
      </c>
      <c r="B14" s="4" t="s">
        <v>392</v>
      </c>
      <c r="C14" s="4" t="s">
        <v>393</v>
      </c>
    </row>
    <row r="15" spans="1:3" ht="48" customHeight="1">
      <c r="A15" s="6" t="s">
        <v>394</v>
      </c>
      <c r="B15" s="6" t="s">
        <v>395</v>
      </c>
      <c r="C15" s="6" t="s">
        <v>396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8.875" customWidth="1"/>
    <col min="2" max="2" width="21.125" customWidth="1"/>
    <col min="3" max="3" width="62.25" customWidth="1"/>
    <col min="4" max="4" width="50" customWidth="1"/>
  </cols>
  <sheetData>
    <row r="1" spans="1:4">
      <c r="A1" s="1"/>
      <c r="B1" s="1"/>
      <c r="C1" s="1"/>
      <c r="D1" s="1"/>
    </row>
    <row r="2" spans="1:4" ht="19.5">
      <c r="A2" s="2" t="s">
        <v>397</v>
      </c>
      <c r="B2" s="1"/>
      <c r="C2" s="1"/>
      <c r="D2" s="1"/>
    </row>
    <row r="3" spans="1:4">
      <c r="A3" s="3" t="s">
        <v>398</v>
      </c>
      <c r="B3" s="1"/>
      <c r="C3" s="1"/>
      <c r="D3" s="1"/>
    </row>
    <row r="4" spans="1:4">
      <c r="A4" s="1"/>
      <c r="B4" s="1"/>
      <c r="C4" s="1"/>
      <c r="D4" s="1"/>
    </row>
    <row r="5" spans="1:4" ht="33.950000000000003" customHeight="1">
      <c r="A5" s="5" t="s">
        <v>312</v>
      </c>
      <c r="B5" s="5" t="s">
        <v>399</v>
      </c>
      <c r="C5" s="5" t="s">
        <v>400</v>
      </c>
      <c r="D5" s="5" t="s">
        <v>401</v>
      </c>
    </row>
    <row r="6" spans="1:4" ht="48" customHeight="1">
      <c r="A6" s="4" t="s">
        <v>201</v>
      </c>
      <c r="B6" s="4" t="s">
        <v>402</v>
      </c>
      <c r="C6" s="4" t="s">
        <v>403</v>
      </c>
      <c r="D6" s="4" t="s">
        <v>404</v>
      </c>
    </row>
    <row r="7" spans="1:4" ht="48" customHeight="1">
      <c r="A7" s="6" t="s">
        <v>267</v>
      </c>
      <c r="B7" s="6" t="s">
        <v>405</v>
      </c>
      <c r="C7" s="6" t="s">
        <v>406</v>
      </c>
      <c r="D7" s="6" t="s">
        <v>407</v>
      </c>
    </row>
    <row r="8" spans="1:4" ht="48" customHeight="1">
      <c r="A8" s="4" t="s">
        <v>291</v>
      </c>
      <c r="B8" s="4" t="s">
        <v>287</v>
      </c>
      <c r="C8" s="4" t="s">
        <v>408</v>
      </c>
      <c r="D8" s="4" t="s">
        <v>409</v>
      </c>
    </row>
    <row r="9" spans="1:4" ht="48" customHeight="1">
      <c r="A9" s="6" t="s">
        <v>410</v>
      </c>
      <c r="B9" s="6" t="s">
        <v>411</v>
      </c>
      <c r="C9" s="6" t="s">
        <v>412</v>
      </c>
      <c r="D9" s="6" t="s">
        <v>413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showGridLines="0" tabSelected="1" workbookViewId="0">
      <pane ySplit="5" topLeftCell="A6" activePane="bottomLeft" state="frozen"/>
      <selection pane="bottomLeft" activeCell="B23" sqref="B23"/>
    </sheetView>
  </sheetViews>
  <sheetFormatPr defaultRowHeight="14.25"/>
  <cols>
    <col min="1" max="1" width="9.5" customWidth="1"/>
    <col min="2" max="2" width="41.125" customWidth="1"/>
    <col min="3" max="4" width="6.125" customWidth="1"/>
    <col min="5" max="5" width="7.25" customWidth="1"/>
    <col min="6" max="6" width="12.25" customWidth="1"/>
    <col min="7" max="7" width="60" customWidth="1"/>
    <col min="8" max="8" width="40" customWidth="1"/>
    <col min="9" max="9" width="13.375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 ht="19.5">
      <c r="A2" s="2" t="s">
        <v>414</v>
      </c>
      <c r="B2" s="1"/>
      <c r="C2" s="1"/>
      <c r="D2" s="1"/>
      <c r="E2" s="1"/>
      <c r="F2" s="1"/>
      <c r="G2" s="1"/>
      <c r="H2" s="1"/>
      <c r="I2" s="1"/>
    </row>
    <row r="3" spans="1:9">
      <c r="A3" s="3" t="s">
        <v>415</v>
      </c>
      <c r="B3" s="1"/>
      <c r="C3" s="1"/>
      <c r="D3" s="1"/>
      <c r="E3" s="1"/>
      <c r="F3" s="1"/>
      <c r="G3" s="1"/>
      <c r="H3" s="1"/>
      <c r="I3" s="1"/>
    </row>
    <row r="4" spans="1:9">
      <c r="A4" s="1"/>
      <c r="B4" s="1"/>
      <c r="C4" s="1"/>
      <c r="D4" s="1"/>
      <c r="E4" s="1"/>
      <c r="F4" s="1"/>
      <c r="G4" s="1"/>
      <c r="H4" s="1"/>
      <c r="I4" s="1"/>
    </row>
    <row r="5" spans="1:9" ht="33.950000000000003" customHeight="1">
      <c r="A5" s="5" t="s">
        <v>129</v>
      </c>
      <c r="B5" s="5" t="s">
        <v>416</v>
      </c>
      <c r="C5" s="5" t="s">
        <v>417</v>
      </c>
      <c r="D5" s="5" t="s">
        <v>418</v>
      </c>
      <c r="E5" s="5" t="s">
        <v>419</v>
      </c>
      <c r="F5" s="5" t="s">
        <v>420</v>
      </c>
      <c r="G5" s="5" t="s">
        <v>421</v>
      </c>
      <c r="H5" s="5" t="s">
        <v>422</v>
      </c>
      <c r="I5" s="5" t="s">
        <v>423</v>
      </c>
    </row>
    <row r="6" spans="1:9" ht="48" customHeight="1">
      <c r="A6" s="4" t="s">
        <v>424</v>
      </c>
      <c r="B6" s="4" t="s">
        <v>425</v>
      </c>
      <c r="C6" s="4">
        <v>3</v>
      </c>
      <c r="D6" s="4">
        <v>3</v>
      </c>
      <c r="E6" s="4">
        <f t="shared" ref="E6:E19" si="0">C6*D6</f>
        <v>9</v>
      </c>
      <c r="F6" s="4" t="str">
        <f t="shared" ref="F6:F19" si="1">IF(E6&gt;=6,"Высокий",IF(E6&gt;=3,"Средний","Низкий"))</f>
        <v>Высокий</v>
      </c>
      <c r="G6" s="4" t="s">
        <v>426</v>
      </c>
      <c r="H6" s="4" t="s">
        <v>427</v>
      </c>
      <c r="I6" s="4" t="s">
        <v>428</v>
      </c>
    </row>
    <row r="7" spans="1:9" ht="48" customHeight="1">
      <c r="A7" s="6" t="s">
        <v>429</v>
      </c>
      <c r="B7" s="6" t="s">
        <v>430</v>
      </c>
      <c r="C7" s="6">
        <v>3</v>
      </c>
      <c r="D7" s="6">
        <v>3</v>
      </c>
      <c r="E7" s="6">
        <f t="shared" si="0"/>
        <v>9</v>
      </c>
      <c r="F7" s="6" t="str">
        <f t="shared" si="1"/>
        <v>Высокий</v>
      </c>
      <c r="G7" s="6" t="s">
        <v>431</v>
      </c>
      <c r="H7" s="6" t="s">
        <v>432</v>
      </c>
      <c r="I7" s="6" t="s">
        <v>433</v>
      </c>
    </row>
    <row r="8" spans="1:9" ht="55.5" customHeight="1">
      <c r="A8" s="4" t="s">
        <v>434</v>
      </c>
      <c r="B8" s="4" t="s">
        <v>435</v>
      </c>
      <c r="C8" s="4">
        <v>2</v>
      </c>
      <c r="D8" s="4">
        <v>3</v>
      </c>
      <c r="E8" s="4">
        <f t="shared" si="0"/>
        <v>6</v>
      </c>
      <c r="F8" s="4" t="str">
        <f t="shared" si="1"/>
        <v>Высокий</v>
      </c>
      <c r="G8" s="4" t="s">
        <v>436</v>
      </c>
      <c r="H8" s="4" t="s">
        <v>437</v>
      </c>
      <c r="I8" s="4" t="s">
        <v>433</v>
      </c>
    </row>
    <row r="9" spans="1:9" ht="48" customHeight="1">
      <c r="A9" s="6" t="s">
        <v>438</v>
      </c>
      <c r="B9" s="6" t="s">
        <v>439</v>
      </c>
      <c r="C9" s="6">
        <v>3</v>
      </c>
      <c r="D9" s="6">
        <v>3</v>
      </c>
      <c r="E9" s="6">
        <f t="shared" si="0"/>
        <v>9</v>
      </c>
      <c r="F9" s="6" t="str">
        <f t="shared" si="1"/>
        <v>Высокий</v>
      </c>
      <c r="G9" s="6" t="s">
        <v>440</v>
      </c>
      <c r="H9" s="6" t="s">
        <v>441</v>
      </c>
      <c r="I9" s="6" t="s">
        <v>442</v>
      </c>
    </row>
    <row r="10" spans="1:9" ht="48" customHeight="1">
      <c r="A10" s="4" t="s">
        <v>443</v>
      </c>
      <c r="B10" s="4" t="s">
        <v>444</v>
      </c>
      <c r="C10" s="4">
        <v>3</v>
      </c>
      <c r="D10" s="4">
        <v>2</v>
      </c>
      <c r="E10" s="4">
        <f t="shared" si="0"/>
        <v>6</v>
      </c>
      <c r="F10" s="4" t="str">
        <f t="shared" si="1"/>
        <v>Высокий</v>
      </c>
      <c r="G10" s="4" t="s">
        <v>445</v>
      </c>
      <c r="H10" s="4" t="s">
        <v>446</v>
      </c>
      <c r="I10" s="4" t="s">
        <v>433</v>
      </c>
    </row>
    <row r="11" spans="1:9" ht="55.5" customHeight="1">
      <c r="A11" s="6" t="s">
        <v>447</v>
      </c>
      <c r="B11" s="6" t="s">
        <v>448</v>
      </c>
      <c r="C11" s="6">
        <v>3</v>
      </c>
      <c r="D11" s="6">
        <v>3</v>
      </c>
      <c r="E11" s="6">
        <f t="shared" si="0"/>
        <v>9</v>
      </c>
      <c r="F11" s="6" t="str">
        <f t="shared" si="1"/>
        <v>Высокий</v>
      </c>
      <c r="G11" s="6" t="s">
        <v>449</v>
      </c>
      <c r="H11" s="6" t="s">
        <v>450</v>
      </c>
      <c r="I11" s="6" t="s">
        <v>428</v>
      </c>
    </row>
    <row r="12" spans="1:9" ht="48" customHeight="1">
      <c r="A12" s="4" t="s">
        <v>451</v>
      </c>
      <c r="B12" s="4" t="s">
        <v>452</v>
      </c>
      <c r="C12" s="4">
        <v>3</v>
      </c>
      <c r="D12" s="4">
        <v>2</v>
      </c>
      <c r="E12" s="4">
        <f t="shared" si="0"/>
        <v>6</v>
      </c>
      <c r="F12" s="4" t="str">
        <f t="shared" si="1"/>
        <v>Высокий</v>
      </c>
      <c r="G12" s="4" t="s">
        <v>453</v>
      </c>
      <c r="H12" s="4" t="s">
        <v>454</v>
      </c>
      <c r="I12" s="4" t="s">
        <v>442</v>
      </c>
    </row>
    <row r="13" spans="1:9" ht="48" customHeight="1">
      <c r="A13" s="6" t="s">
        <v>455</v>
      </c>
      <c r="B13" s="6" t="s">
        <v>456</v>
      </c>
      <c r="C13" s="6">
        <v>2</v>
      </c>
      <c r="D13" s="6">
        <v>3</v>
      </c>
      <c r="E13" s="6">
        <f t="shared" si="0"/>
        <v>6</v>
      </c>
      <c r="F13" s="6" t="str">
        <f t="shared" si="1"/>
        <v>Высокий</v>
      </c>
      <c r="G13" s="6" t="s">
        <v>457</v>
      </c>
      <c r="H13" s="6" t="s">
        <v>458</v>
      </c>
      <c r="I13" s="6" t="s">
        <v>442</v>
      </c>
    </row>
    <row r="14" spans="1:9" ht="48" customHeight="1">
      <c r="A14" s="4" t="s">
        <v>459</v>
      </c>
      <c r="B14" s="4" t="s">
        <v>460</v>
      </c>
      <c r="C14" s="4">
        <v>3</v>
      </c>
      <c r="D14" s="4">
        <v>3</v>
      </c>
      <c r="E14" s="4">
        <f t="shared" si="0"/>
        <v>9</v>
      </c>
      <c r="F14" s="4" t="str">
        <f t="shared" si="1"/>
        <v>Высокий</v>
      </c>
      <c r="G14" s="4" t="s">
        <v>461</v>
      </c>
      <c r="H14" s="4" t="s">
        <v>462</v>
      </c>
      <c r="I14" s="4" t="s">
        <v>428</v>
      </c>
    </row>
    <row r="15" spans="1:9" ht="48" customHeight="1">
      <c r="A15" s="6" t="s">
        <v>463</v>
      </c>
      <c r="B15" s="6" t="s">
        <v>464</v>
      </c>
      <c r="C15" s="6">
        <v>2</v>
      </c>
      <c r="D15" s="6">
        <v>2</v>
      </c>
      <c r="E15" s="6">
        <f t="shared" si="0"/>
        <v>4</v>
      </c>
      <c r="F15" s="6" t="str">
        <f t="shared" si="1"/>
        <v>Средний</v>
      </c>
      <c r="G15" s="6" t="s">
        <v>465</v>
      </c>
      <c r="H15" s="6" t="s">
        <v>466</v>
      </c>
      <c r="I15" s="6" t="s">
        <v>428</v>
      </c>
    </row>
    <row r="16" spans="1:9" ht="48" customHeight="1">
      <c r="A16" s="4" t="s">
        <v>467</v>
      </c>
      <c r="B16" s="4" t="s">
        <v>468</v>
      </c>
      <c r="C16" s="4">
        <v>2</v>
      </c>
      <c r="D16" s="4">
        <v>3</v>
      </c>
      <c r="E16" s="4">
        <f t="shared" si="0"/>
        <v>6</v>
      </c>
      <c r="F16" s="4" t="str">
        <f t="shared" si="1"/>
        <v>Высокий</v>
      </c>
      <c r="G16" s="4" t="s">
        <v>469</v>
      </c>
      <c r="H16" s="4" t="s">
        <v>470</v>
      </c>
      <c r="I16" s="4" t="s">
        <v>433</v>
      </c>
    </row>
    <row r="17" spans="1:9" ht="55.5" customHeight="1">
      <c r="A17" s="6" t="s">
        <v>471</v>
      </c>
      <c r="B17" s="6" t="s">
        <v>472</v>
      </c>
      <c r="C17" s="6">
        <v>2</v>
      </c>
      <c r="D17" s="6">
        <v>3</v>
      </c>
      <c r="E17" s="6">
        <f t="shared" si="0"/>
        <v>6</v>
      </c>
      <c r="F17" s="6" t="str">
        <f t="shared" si="1"/>
        <v>Высокий</v>
      </c>
      <c r="G17" s="6" t="s">
        <v>473</v>
      </c>
      <c r="H17" s="6" t="s">
        <v>474</v>
      </c>
      <c r="I17" s="6" t="s">
        <v>428</v>
      </c>
    </row>
    <row r="18" spans="1:9" ht="48" customHeight="1">
      <c r="A18" s="4" t="s">
        <v>475</v>
      </c>
      <c r="B18" s="4" t="s">
        <v>476</v>
      </c>
      <c r="C18" s="4">
        <v>2</v>
      </c>
      <c r="D18" s="4">
        <v>3</v>
      </c>
      <c r="E18" s="4">
        <f t="shared" si="0"/>
        <v>6</v>
      </c>
      <c r="F18" s="4" t="str">
        <f t="shared" si="1"/>
        <v>Высокий</v>
      </c>
      <c r="G18" s="4" t="s">
        <v>477</v>
      </c>
      <c r="H18" s="4" t="s">
        <v>478</v>
      </c>
      <c r="I18" s="4" t="s">
        <v>428</v>
      </c>
    </row>
    <row r="19" spans="1:9" ht="48" customHeight="1">
      <c r="A19" s="6" t="s">
        <v>479</v>
      </c>
      <c r="B19" s="6" t="s">
        <v>480</v>
      </c>
      <c r="C19" s="6">
        <v>2</v>
      </c>
      <c r="D19" s="6">
        <v>3</v>
      </c>
      <c r="E19" s="6">
        <f t="shared" si="0"/>
        <v>6</v>
      </c>
      <c r="F19" s="6" t="str">
        <f t="shared" si="1"/>
        <v>Высокий</v>
      </c>
      <c r="G19" s="6" t="s">
        <v>481</v>
      </c>
      <c r="H19" s="6" t="s">
        <v>482</v>
      </c>
      <c r="I19" s="6" t="s">
        <v>433</v>
      </c>
    </row>
  </sheetData>
  <conditionalFormatting sqref="E6:E19">
    <cfRule type="cellIs" dxfId="0" priority="1" operator="greaterThanOrEqual">
      <formula>6</formula>
    </cfRule>
  </conditionalFormatting>
  <dataValidations count="1">
    <dataValidation type="whole" sqref="C6:D19">
      <formula1>1</formula1>
      <formula2>3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Аналоги</vt:lpstr>
      <vt:lpstr>Отличия</vt:lpstr>
      <vt:lpstr>Решения</vt:lpstr>
      <vt:lpstr>US и FR</vt:lpstr>
      <vt:lpstr>NFR</vt:lpstr>
      <vt:lpstr>Методика</vt:lpstr>
      <vt:lpstr>MoSCoW</vt:lpstr>
      <vt:lpstr>Риски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2026-10-14T10:26:18Z</dcterms:created>
  <dcterms:modified xsi:type="dcterms:W3CDTF">2026-10-14T10:26:25Z</dcterms:modified>
</cp:coreProperties>
</file>